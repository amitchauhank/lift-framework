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1 — Maturity Assessment" sheetId="2" state="visible" r:id="rId4"/>
    <sheet name="2 — Workflow Inventory" sheetId="3" state="visible" r:id="rId5"/>
    <sheet name="3 — Leverage Scoring" sheetId="4" state="visible" r:id="rId6"/>
    <sheet name="4 — Pilot Design Canvas" sheetId="5" state="visible" r:id="rId7"/>
    <sheet name="5 — AI Adoption Gate" sheetId="6" state="visible" r:id="rId8"/>
    <sheet name="6 — Governance Checklist" sheetId="7" state="visible" r:id="rId9"/>
    <sheet name="7 — Transform Readines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<sst xmlns="http://schemas.openxmlformats.org/spreadsheetml/2006/main" count="286" uniqueCount="240">
  <si>
    <t xml:space="preserve">THE LIFT FRAMEWORK — Action Toolkit</t>
  </si>
  <si>
    <t xml:space="preserve">Leverage · Integrate · Fortify · Transform  |  github.com/lift-framework  |  v1.0</t>
  </si>
  <si>
    <t xml:space="preserve">HOW TO USE THIS TOOLKIT</t>
  </si>
  <si>
    <t xml:space="preserve">  1.  This toolkit is the action layer of the LIFT Framework. Each tab maps to a stage of the framework.</t>
  </si>
  <si>
    <t xml:space="preserve">  2.  Work through the sheets in order — your outputs from each tab feed the next.</t>
  </si>
  <si>
    <t xml:space="preserve">  3.  Yellow cells are inputs. Black-text cells are auto-calculated. Do not edit formula cells.</t>
  </si>
  <si>
    <t xml:space="preserve">  4.  There is no wrong answer in the self-assessment. Honesty is more valuable than optimism.</t>
  </si>
  <si>
    <t xml:space="preserve">Tab</t>
  </si>
  <si>
    <t xml:space="preserve">Purpose</t>
  </si>
  <si>
    <t xml:space="preserve">LIFT Stage</t>
  </si>
  <si>
    <t xml:space="preserve">Status</t>
  </si>
  <si>
    <t xml:space="preserve">0 — START HERE</t>
  </si>
  <si>
    <t xml:space="preserve">You are here. Read before proceeding.</t>
  </si>
  <si>
    <t xml:space="preserve">—</t>
  </si>
  <si>
    <t xml:space="preserve">Not Started</t>
  </si>
  <si>
    <t xml:space="preserve">1 — Maturity Assessment</t>
  </si>
  <si>
    <t xml:space="preserve">Diagnose where your org sits across 5 dimensions. Start here.</t>
  </si>
  <si>
    <t xml:space="preserve">Cross-pillar</t>
  </si>
  <si>
    <t xml:space="preserve">2 — Workflow Inventory</t>
  </si>
  <si>
    <t xml:space="preserve">List and score all recurring workflows by manual load.</t>
  </si>
  <si>
    <t xml:space="preserve">L — Leverage</t>
  </si>
  <si>
    <t xml:space="preserve">3 — Leverage Scoring</t>
  </si>
  <si>
    <t xml:space="preserve">Score each workflow for AI fit. Identify your top 3 targets.</t>
  </si>
  <si>
    <t xml:space="preserve">4 — Pilot Design Canvas</t>
  </si>
  <si>
    <t xml:space="preserve">Design a structured pilot for your top workflow(s).</t>
  </si>
  <si>
    <t xml:space="preserve">I — Integrate</t>
  </si>
  <si>
    <t xml:space="preserve">5 — AI Adoption Gate</t>
  </si>
  <si>
    <t xml:space="preserve">Gate every AI initiative before it goes live. No gate = no go.</t>
  </si>
  <si>
    <t xml:space="preserve">F — Fortify</t>
  </si>
  <si>
    <t xml:space="preserve">6 — Governance Checklist</t>
  </si>
  <si>
    <t xml:space="preserve">Build your policy and oversight foundation.</t>
  </si>
  <si>
    <t xml:space="preserve">7 — Transform Readiness</t>
  </si>
  <si>
    <t xml:space="preserve">Assess readiness to scale AI into competitive advantage.</t>
  </si>
  <si>
    <t xml:space="preserve">T — Transform</t>
  </si>
  <si>
    <t xml:space="preserve">LIFT MATURITY SELF-ASSESSMENT</t>
  </si>
  <si>
    <t xml:space="preserve">Rate your organization honestly across 5 dimensions. This is your baseline.</t>
  </si>
  <si>
    <t xml:space="preserve">  Instructions: For each dimension, read the level descriptions and enter your score (0–4) in the yellow cell. Use the evidence column to note what led to your rating. Honesty &gt; optimism.</t>
  </si>
  <si>
    <t xml:space="preserve">DIMENSION 1 OF 5  —  WORKFLOW CLARITY</t>
  </si>
  <si>
    <t xml:space="preserve">  Key question: Do you know — step by step — how your recurring work actually gets done?</t>
  </si>
  <si>
    <t xml:space="preserve">Level Descriptions</t>
  </si>
  <si>
    <t xml:space="preserve">Your Score (0-4)</t>
  </si>
  <si>
    <t xml:space="preserve">Evidence / Notes</t>
  </si>
  <si>
    <t xml:space="preserve">  0 — Processes are entirely undocumented and tribal</t>
  </si>
  <si>
    <t xml:space="preserve">  1 — Some processes documented, inconsistently followed</t>
  </si>
  <si>
    <t xml:space="preserve">  2 — Core workflows documented but not regularly maintained</t>
  </si>
  <si>
    <t xml:space="preserve">  3 — Workflows documented, owned, and reviewed quarterly</t>
  </si>
  <si>
    <t xml:space="preserve">  4 — Workflows are a living system; changes tracked and communicated</t>
  </si>
  <si>
    <t xml:space="preserve">DIMENSION 2 OF 5  —  DATA AVAILABILITY</t>
  </si>
  <si>
    <t xml:space="preserve">  Key question: Is the information AI would need clean, accessible, and usable?</t>
  </si>
  <si>
    <t xml:space="preserve">  0 — Data is scattered across emails, files, and people's heads</t>
  </si>
  <si>
    <t xml:space="preserve">  1 — Data exists in systems but is messy and inconsistently structured</t>
  </si>
  <si>
    <t xml:space="preserve">  2 — Data is structured in some areas; significant gaps remain</t>
  </si>
  <si>
    <t xml:space="preserve">  3 — Core operational data is clean and accessible</t>
  </si>
  <si>
    <t xml:space="preserve">  4 — Data is well-governed, structured, and actively maintained</t>
  </si>
  <si>
    <t xml:space="preserve">DIMENSION 3 OF 5  —  LEADERSHIP ALIGNMENT</t>
  </si>
  <si>
    <t xml:space="preserve">  Key question: Does leadership agree on why AI matters and what success looks like?</t>
  </si>
  <si>
    <t xml:space="preserve">  0 — No leadership engagement with AI</t>
  </si>
  <si>
    <t xml:space="preserve">  1 — Interest but no ownership, budget, or mandate</t>
  </si>
  <si>
    <t xml:space="preserve">  2 — One leader is a champion; others are passive or skeptical</t>
  </si>
  <si>
    <t xml:space="preserve">  3 — Leadership aligned on goals; accountability exists</t>
  </si>
  <si>
    <t xml:space="preserve">  4 — AI strategy is a board-level priority with clear KPIs</t>
  </si>
  <si>
    <t xml:space="preserve">DIMENSION 4 OF 5  —  TALENT READINESS</t>
  </si>
  <si>
    <t xml:space="preserve">  Key question: Do your people have the skills and mindset to work alongside AI?</t>
  </si>
  <si>
    <t xml:space="preserve">  0 — No AI skills; significant fear or resistance</t>
  </si>
  <si>
    <t xml:space="preserve">  1 — A few enthusiasts; no shared capability or training</t>
  </si>
  <si>
    <t xml:space="preserve">  2 — Some training underway; adoption is uneven</t>
  </si>
  <si>
    <t xml:space="preserve">  3 — Most staff can use AI tools competently in their role</t>
  </si>
  <si>
    <t xml:space="preserve">  4 — AI fluency is embedded in hiring, onboarding, and performance</t>
  </si>
  <si>
    <t xml:space="preserve">DIMENSION 5 OF 5  —  CLIENT &amp; RISK AWARENESS</t>
  </si>
  <si>
    <t xml:space="preserve">  Key question: Do you understand what you can/cannot automate given client and legal constraints?</t>
  </si>
  <si>
    <t xml:space="preserve">  0 — No policy; no awareness of constraints</t>
  </si>
  <si>
    <t xml:space="preserve">  1 — Informal assumptions; no documented policy</t>
  </si>
  <si>
    <t xml:space="preserve">  2 — Some conversations with clients; policy in draft</t>
  </si>
  <si>
    <t xml:space="preserve">  3 — Clear internal policy; clients informed where relevant</t>
  </si>
  <si>
    <t xml:space="preserve">  4 — Proactive governance; clients see it as a differentiator</t>
  </si>
  <si>
    <t xml:space="preserve">RESULTS SUMMARY</t>
  </si>
  <si>
    <t xml:space="preserve">Workflow Clarity</t>
  </si>
  <si>
    <t xml:space="preserve">Data Availability</t>
  </si>
  <si>
    <t xml:space="preserve">Leadership Alignment</t>
  </si>
  <si>
    <t xml:space="preserve">Talent Readiness</t>
  </si>
  <si>
    <t xml:space="preserve">Client &amp; Risk Awareness</t>
  </si>
  <si>
    <t xml:space="preserve">OVERALL LIFT MATURITY SCORE  (out of 20)</t>
  </si>
  <si>
    <t xml:space="preserve">WORKFLOW INVENTORY  —  L: Leverage</t>
  </si>
  <si>
    <t xml:space="preserve">List every recurring workflow. Quantify the manual burden. Prioritize by load.</t>
  </si>
  <si>
    <t xml:space="preserve">  Instructions: List every recurring workflow your team performs. Be specific — 'write client reports' is better than 'reporting'. Fill in frequency, hours, and people. The Manual Load Index calculates automatically.</t>
  </si>
  <si>
    <t xml:space="preserve">Workflow Name</t>
  </si>
  <si>
    <t xml:space="preserve">Description</t>
  </si>
  <si>
    <t xml:space="preserve">Frequency (Annualized)</t>
  </si>
  <si>
    <t xml:space="preserve">Avg Hours / Execution</t>
  </si>
  <si>
    <t xml:space="preserve">People Involved</t>
  </si>
  <si>
    <t xml:space="preserve">Manual Load Index ▼</t>
  </si>
  <si>
    <t xml:space="preserve">Department / Owner</t>
  </si>
  <si>
    <t xml:space="preserve">  SCORING GUIDE  |  Frequency: weekly=52, monthly=12, quarterly=4, daily=250  |  Manual Load Index = Frequency × Hours × People  |  Higher = higher priority for AI</t>
  </si>
  <si>
    <t xml:space="preserve">[EXAMPLE] Client Status Report</t>
  </si>
  <si>
    <t xml:space="preserve">Weekly summary of campaign performance sent to client</t>
  </si>
  <si>
    <t xml:space="preserve">Client Services</t>
  </si>
  <si>
    <t xml:space="preserve">TOTAL MANUAL HOURS IDENTIFIED (per year)</t>
  </si>
  <si>
    <t xml:space="preserve">Hours × People × Frequency</t>
  </si>
  <si>
    <t xml:space="preserve">LEVERAGE SCORING  —  L: Leverage</t>
  </si>
  <si>
    <t xml:space="preserve">Score each workflow for AI fit. Your top-scoring workflows are your pilot candidates.</t>
  </si>
  <si>
    <t xml:space="preserve">  Instructions: Transfer workflow names from Tab 2. Score each dimension 1–5 using the guide below. Risk is subtracted automatically. Workflows scoring 18+ are strong pilot candidates.</t>
  </si>
  <si>
    <t xml:space="preserve">  SCORING GUIDE (1=Low / 5=High)  |  Frequency: how often  |  Time Intensity: hours per run  |  Output Structure: how templated/defined  |  Ease of Review: how easy to QA  |  Measurability: can you track impact  |  Risk: subtract — how bad if AI gets it wrong</t>
  </si>
  <si>
    <t xml:space="preserve">Frequency
(1–5)</t>
  </si>
  <si>
    <t xml:space="preserve">Time
Intensity
(1–5)</t>
  </si>
  <si>
    <t xml:space="preserve">Output
Structure
(1–5)</t>
  </si>
  <si>
    <t xml:space="preserve">Ease of
Review
(1–5)</t>
  </si>
  <si>
    <t xml:space="preserve">Measur-
ability
(1–5)</t>
  </si>
  <si>
    <t xml:space="preserve">Risk
(1–5)
[subtract]</t>
  </si>
  <si>
    <t xml:space="preserve">Leverage
Score</t>
  </si>
  <si>
    <t xml:space="preserve">Recommendation</t>
  </si>
  <si>
    <t xml:space="preserve">  YOUR TOP PILOT CANDIDATES  —  Copy the 3 highest-scoring workflows to Tab 4 (Pilot Design Canvas)</t>
  </si>
  <si>
    <t xml:space="preserve">1st Priority:</t>
  </si>
  <si>
    <t xml:space="preserve">Notes / Why this one:</t>
  </si>
  <si>
    <t xml:space="preserve">2nd Priority:</t>
  </si>
  <si>
    <t xml:space="preserve">3rd Priority:</t>
  </si>
  <si>
    <t xml:space="preserve">PILOT DESIGN CANVAS  —  I: Integrate</t>
  </si>
  <si>
    <t xml:space="preserve">A pilot without a hypothesis is a hobby. Design it properly before you start.</t>
  </si>
  <si>
    <t xml:space="preserve">  Instructions: Complete one canvas per pilot. Every yellow cell must be filled before the pilot is approved to run. Use the left side for setup, right side for measurement and decisions.</t>
  </si>
  <si>
    <t xml:space="preserve">PILOT NAME</t>
  </si>
  <si>
    <t xml:space="preserve">SUCCESS METRIC #1</t>
  </si>
  <si>
    <t xml:space="preserve">  Give this pilot a short, memorable name</t>
  </si>
  <si>
    <t xml:space="preserve">  Specific, measurable. E.g. 'Report draft time &lt; 30 min'</t>
  </si>
  <si>
    <t xml:space="preserve">WORKFLOW TARGETED</t>
  </si>
  <si>
    <t xml:space="preserve">SUCCESS METRIC #2</t>
  </si>
  <si>
    <t xml:space="preserve">  From your Leverage Scoring tab — which workflow is this?</t>
  </si>
  <si>
    <t xml:space="preserve">  Second measurable outcome</t>
  </si>
  <si>
    <t xml:space="preserve">PILOT OWNER</t>
  </si>
  <si>
    <t xml:space="preserve">BASELINE (before AI)</t>
  </si>
  <si>
    <t xml:space="preserve">  One name. Not a committee. This person reports on progress.</t>
  </si>
  <si>
    <t xml:space="preserve">  What does the current state look like in numbers?</t>
  </si>
  <si>
    <t xml:space="preserve">TEAM / DEPARTMENT</t>
  </si>
  <si>
    <t xml:space="preserve">TARGET (after AI)</t>
  </si>
  <si>
    <t xml:space="preserve">  Which team is running the pilot?</t>
  </si>
  <si>
    <t xml:space="preserve">  What does success look like in numbers at end date?</t>
  </si>
  <si>
    <t xml:space="preserve">START DATE</t>
  </si>
  <si>
    <t xml:space="preserve">FAILURE DEFINITION</t>
  </si>
  <si>
    <t xml:space="preserve">  When does this pilot begin?</t>
  </si>
  <si>
    <t xml:space="preserve">  What result at end date means we should shelve this? Be specific.</t>
  </si>
  <si>
    <t xml:space="preserve">END DATE (max 90 days)</t>
  </si>
  <si>
    <t xml:space="preserve">DATA PRIVACY CHECK</t>
  </si>
  <si>
    <t xml:space="preserve">  When does it end? Set this before you start.</t>
  </si>
  <si>
    <t xml:space="preserve">  Does this pilot involve any client data? If yes, is it approved per policy?</t>
  </si>
  <si>
    <t xml:space="preserve">AI TOOL(S) BEING USED</t>
  </si>
  <si>
    <t xml:space="preserve">RISK LEVEL</t>
  </si>
  <si>
    <t xml:space="preserve">  Specific tool(s) — not 'AI generally'</t>
  </si>
  <si>
    <t xml:space="preserve">  Low / Medium / High — and brief rationale</t>
  </si>
  <si>
    <t xml:space="preserve">WRITTEN HYPOTHESIS</t>
  </si>
  <si>
    <t xml:space="preserve">WHAT COULD GO WRONG?</t>
  </si>
  <si>
    <t xml:space="preserve">  We believe that [using AI for X] will [result in Y] because [Z]. We will know in [N] days if this is true by measuring [metric].</t>
  </si>
  <si>
    <t xml:space="preserve">  Top 2-3 failure modes and how you'll catch them</t>
  </si>
  <si>
    <t xml:space="preserve">WHAT CHANGES IN THE WORKFLOW?</t>
  </si>
  <si>
    <t xml:space="preserve">PILOT OUTCOME (complete at end)</t>
  </si>
  <si>
    <t xml:space="preserve">  Describe step by step what the human does vs. what AI does in this new workflow</t>
  </si>
  <si>
    <t xml:space="preserve">  Scale / Iterate / Shelve — and the key reason</t>
  </si>
  <si>
    <t xml:space="preserve">HUMAN REVIEW CHECKPOINT</t>
  </si>
  <si>
    <t xml:space="preserve">LESSONS LEARNED</t>
  </si>
  <si>
    <t xml:space="preserve">  At what point does a human review AI output before it is used or sent?</t>
  </si>
  <si>
    <t xml:space="preserve">  What should the next pilot team know?</t>
  </si>
  <si>
    <t xml:space="preserve">AI ADOPTION GATE  —  F: Fortify</t>
  </si>
  <si>
    <t xml:space="preserve">Every AI initiative must pass this gate before going live. No gate approval = no rollout.</t>
  </si>
  <si>
    <t xml:space="preserve">  Instructions: Submit one row per initiative. All 6 gate criteria must be answered. The Gate Decision calculates automatically based on your inputs. Red = not ready. Green = approved.</t>
  </si>
  <si>
    <t xml:space="preserve">Initiative Name</t>
  </si>
  <si>
    <t xml:space="preserve">Workflow
Impacted</t>
  </si>
  <si>
    <t xml:space="preserve">LIFT
Stage</t>
  </si>
  <si>
    <t xml:space="preserve">ROI Hypothesis
(specific, measurable)</t>
  </si>
  <si>
    <t xml:space="preserve">Risk Level
(L/M/H)</t>
  </si>
  <si>
    <t xml:space="preserve">Human Oversight
Plan</t>
  </si>
  <si>
    <t xml:space="preserve">Owner
(one name)</t>
  </si>
  <si>
    <t xml:space="preserve">Gate
Decision</t>
  </si>
  <si>
    <t xml:space="preserve">  GATE CRITERIA: All 6 columns must be complete AND Risk must not be 'H' without a documented oversight plan to receive APPROVED status.</t>
  </si>
  <si>
    <t xml:space="preserve">APPROVED INITIATIVES</t>
  </si>
  <si>
    <t xml:space="preserve">GOVERNANCE CHECKLIST  —  F: Fortify</t>
  </si>
  <si>
    <t xml:space="preserve">Build the structures that make AI sustainable. Answer honestly — gaps are not failures, they're priorities.</t>
  </si>
  <si>
    <t xml:space="preserve">  Instructions: For each item, set the Status using the dropdown. Add an Owner and Target Date for anything not yet complete. Your completion score calculates at the bottom.</t>
  </si>
  <si>
    <t xml:space="preserve">#</t>
  </si>
  <si>
    <t xml:space="preserve">Governance Item</t>
  </si>
  <si>
    <t xml:space="preserve">Owner</t>
  </si>
  <si>
    <t xml:space="preserve">Target Date</t>
  </si>
  <si>
    <t xml:space="preserve">Notes</t>
  </si>
  <si>
    <t xml:space="preserve">  OWNERSHIP &amp; ACCOUNTABILITY</t>
  </si>
  <si>
    <t xml:space="preserve">A named individual (not committee) owns the AI strategy and reports on it regularly</t>
  </si>
  <si>
    <t xml:space="preserve">✗ Not Started</t>
  </si>
  <si>
    <t xml:space="preserve">AI initiatives are tracked in a shared registry visible to leadership</t>
  </si>
  <si>
    <t xml:space="preserve">There is a defined process for proposing, approving, and shelving AI initiatives</t>
  </si>
  <si>
    <t xml:space="preserve">Leadership has agreed on what AI success looks like and how it will be measured</t>
  </si>
  <si>
    <t xml:space="preserve">  DATA &amp; PRIVACY POLICY</t>
  </si>
  <si>
    <t xml:space="preserve">A written policy exists defining which data can be used with which AI tools</t>
  </si>
  <si>
    <t xml:space="preserve">Client data handling in AI tools is explicitly addressed (approved, restricted, or prohibited)</t>
  </si>
  <si>
    <t xml:space="preserve">Employees know what they can and cannot do with client data in AI tools</t>
  </si>
  <si>
    <t xml:space="preserve">The policy is reviewed at least annually or when a new tool is adopted</t>
  </si>
  <si>
    <t xml:space="preserve">  TOOL &amp; VENDOR MANAGEMENT</t>
  </si>
  <si>
    <t xml:space="preserve">A register of approved AI tools exists and is maintained</t>
  </si>
  <si>
    <t xml:space="preserve">There is a process for evaluating and approving new AI tools before adoption</t>
  </si>
  <si>
    <t xml:space="preserve">Vendor data practices have been reviewed for tools handling sensitive data</t>
  </si>
  <si>
    <t xml:space="preserve">Dependency risk is understood — what breaks if a key tool changes or disappears?</t>
  </si>
  <si>
    <t xml:space="preserve">  HUMAN OVERSIGHT</t>
  </si>
  <si>
    <t xml:space="preserve">Every active AI workflow has a defined human review checkpoint</t>
  </si>
  <si>
    <t xml:space="preserve">There is a clear escalation path when AI output is wrong or questionable</t>
  </si>
  <si>
    <t xml:space="preserve">Client-facing AI outputs are always reviewed by a human before delivery</t>
  </si>
  <si>
    <t xml:space="preserve">Error rates or quality issues with AI outputs are tracked and acted on</t>
  </si>
  <si>
    <t xml:space="preserve">  CULTURE &amp; CAPABILITY</t>
  </si>
  <si>
    <t xml:space="preserve">It is explicitly okay to kill a pilot — failure is treated as learning, not embarrassment</t>
  </si>
  <si>
    <t xml:space="preserve">Employees have access to training or resources on effective AI use</t>
  </si>
  <si>
    <t xml:space="preserve">AI use is discussed openly in team meetings — wins and failures alike</t>
  </si>
  <si>
    <t xml:space="preserve">There is a mechanism for employees to raise concerns about AI use</t>
  </si>
  <si>
    <t xml:space="preserve">GOVERNANCE COMPLETION SCORE  (out of 20 items)</t>
  </si>
  <si>
    <t xml:space="preserve">TRANSFORM READINESS  —  T: Transform</t>
  </si>
  <si>
    <t xml:space="preserve">Transformation without operational maturity is theater. Assess readiness before pursuing scale.</t>
  </si>
  <si>
    <t xml:space="preserve">  Instructions: Answer each readiness question honestly. Rate confidence 1–5. A score below 25 suggests you should consolidate Integrate and Fortify stages before pursuing transformation.</t>
  </si>
  <si>
    <t xml:space="preserve">Readiness Question</t>
  </si>
  <si>
    <t xml:space="preserve">What 'Yes' looks like</t>
  </si>
  <si>
    <t xml:space="preserve">Your Answer
(1=No / 5=Yes)</t>
  </si>
  <si>
    <t xml:space="preserve">  OPERATIONAL FOUNDATION</t>
  </si>
  <si>
    <t xml:space="preserve">Do you have 2+ AI workflows operating consistently for 3+ months?</t>
  </si>
  <si>
    <t xml:space="preserve">Regular usage, measured outcomes, team adoption is real — not occasional</t>
  </si>
  <si>
    <t xml:space="preserve">Can you point to measurable time or quality gains from current AI use?</t>
  </si>
  <si>
    <t xml:space="preserve">Specific numbers: e.g. 'Report drafts take 40% less time since March'</t>
  </si>
  <si>
    <t xml:space="preserve">Is AI usage governed — policy exists, owners are named, tools are tracked?</t>
  </si>
  <si>
    <t xml:space="preserve">You have completed at least 75% of Tab 6 (Governance Checklist)</t>
  </si>
  <si>
    <t xml:space="preserve">Are your frontline team members comfortable and competent with current AI tools?</t>
  </si>
  <si>
    <t xml:space="preserve">Usage is consistent across the team — not just driven by a few enthusiasts</t>
  </si>
  <si>
    <t xml:space="preserve">  STRATEGIC CLARITY</t>
  </si>
  <si>
    <t xml:space="preserve">Do you know which client or market problems AI could help you solve differently?</t>
  </si>
  <si>
    <t xml:space="preserve">You can name 2-3 specific client pain points where AI could be a differentiator</t>
  </si>
  <si>
    <t xml:space="preserve">Has leadership aligned on what transformation means for your business model?</t>
  </si>
  <si>
    <t xml:space="preserve">Clear agreement on what changes, what stays human, and why</t>
  </si>
  <si>
    <t xml:space="preserve">Do you have a hypothesis for how AI could create advantage vs. competitors?</t>
  </si>
  <si>
    <t xml:space="preserve">Not just efficiency — genuine differentiation in how you serve clients</t>
  </si>
  <si>
    <t xml:space="preserve">Is there budget and organizational will to invest beyond efficiency gains?</t>
  </si>
  <si>
    <t xml:space="preserve">Leadership has committed resources to transformation, not just tool adoption</t>
  </si>
  <si>
    <t xml:space="preserve">  CAPABILITY &amp; CULTURE</t>
  </si>
  <si>
    <t xml:space="preserve">Do you have people with the skills to design and govern more advanced AI systems?</t>
  </si>
  <si>
    <t xml:space="preserve">Internal or accessible talent in prompt engineering, AI ops, or workflow design</t>
  </si>
  <si>
    <t xml:space="preserve">Is your organization's culture genuinely comfortable with iteration and failure?</t>
  </si>
  <si>
    <t xml:space="preserve">You can point to pilots that were killed without political fallout</t>
  </si>
  <si>
    <t xml:space="preserve">Do you have the data infrastructure to support more sophisticated AI use cases?</t>
  </si>
  <si>
    <t xml:space="preserve">Core data is clean, structured, and accessible to the workflows that need it</t>
  </si>
  <si>
    <t xml:space="preserve">Are your clients open to AI being part of how you deliver value?</t>
  </si>
  <si>
    <t xml:space="preserve">You've had the conversation — and the answer is not 'we assumed they wouldn't mind'</t>
  </si>
  <si>
    <t xml:space="preserve">TRANSFORM READINESS SCORE  (out of 60)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</si>
</sst>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1B3A5C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9"/>
      <color rgb="FFB87A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1B3A5C"/>
      <name val="Arial"/>
      <family val="0"/>
      <charset val="1"/>
    </font>
    <font>
      <b val="true"/>
      <sz val="9"/>
      <color rgb="FF1B3A5C"/>
      <name val="Arial"/>
      <family val="0"/>
      <charset val="1"/>
    </font>
    <font>
      <b val="true"/>
      <sz val="14"/>
      <color rgb="FF2E86A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E86AB"/>
      <name val="Courier New"/>
      <family val="0"/>
      <charset val="1"/>
    </font>
    <font>
      <sz val="9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9"/>
      <color rgb="FF2A7A4F"/>
      <name val="Arial"/>
      <family val="0"/>
      <charset val="1"/>
    </font>
    <font>
      <i val="true"/>
      <sz val="8"/>
      <color rgb="FF1B3A5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1B3A5C"/>
      <name val="Arial"/>
      <family val="0"/>
      <charset val="1"/>
    </font>
    <font>
      <i val="true"/>
      <sz val="8"/>
      <color rgb="FFB87A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12"/>
      <color rgb="FF2E86AB"/>
      <name val="Arial"/>
      <family val="0"/>
      <charset val="1"/>
    </font>
    <font>
      <sz val="10"/>
      <color rgb="FF2E86AB"/>
      <name val="Courier New"/>
      <family val="0"/>
      <charset val="1"/>
    </font>
    <font>
      <b val="true"/>
      <sz val="9"/>
      <color rgb="FFB87A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5C"/>
        <bgColor rgb="FF333399"/>
      </patternFill>
    </fill>
    <fill>
      <patternFill patternType="solid">
        <fgColor rgb="FF2E86AB"/>
        <bgColor rgb="FF008080"/>
      </patternFill>
    </fill>
    <fill>
      <patternFill patternType="solid">
        <fgColor rgb="FFD0E4EF"/>
        <bgColor rgb="FFEAF5EE"/>
      </patternFill>
    </fill>
    <fill>
      <patternFill patternType="solid">
        <fgColor rgb="FFEFF4F8"/>
        <bgColor rgb="FFF2F2F2"/>
      </patternFill>
    </fill>
    <fill>
      <patternFill patternType="solid">
        <fgColor rgb="FFFFFFFF"/>
        <bgColor rgb="FFFFFDE7"/>
      </patternFill>
    </fill>
    <fill>
      <patternFill patternType="solid">
        <fgColor rgb="FFEAF5EE"/>
        <bgColor rgb="FFEFF4F8"/>
      </patternFill>
    </fill>
    <fill>
      <patternFill patternType="solid">
        <fgColor rgb="FFF9EDED"/>
        <bgColor rgb="FFF2F2F2"/>
      </patternFill>
    </fill>
    <fill>
      <patternFill patternType="solid">
        <fgColor rgb="FFFFF8E6"/>
        <bgColor rgb="FFFFFDE7"/>
      </patternFill>
    </fill>
    <fill>
      <patternFill patternType="solid">
        <fgColor rgb="FFF2F2F2"/>
        <bgColor rgb="FFEFF4F8"/>
      </patternFill>
    </fill>
    <fill>
      <patternFill patternType="solid">
        <fgColor rgb="FFFFFDE7"/>
        <bgColor rgb="FFFFF8E6"/>
      </patternFill>
    </fill>
    <fill>
      <patternFill patternType="solid">
        <fgColor rgb="FF8B3A3A"/>
        <bgColor rgb="FF993366"/>
      </patternFill>
    </fill>
    <fill>
      <patternFill patternType="solid">
        <fgColor rgb="FF2A7A4F"/>
        <bgColor rgb="FF00808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B87A00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/>
      <diagonal/>
    </border>
    <border diagonalUp="false" diagonalDown="false">
      <left style="thin">
        <color rgb="FFCCCCCC"/>
      </left>
      <right/>
      <top style="thin">
        <color rgb="FFCCCCCC"/>
      </top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6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A00"/>
      <rgbColor rgb="FF800080"/>
      <rgbColor rgb="FF2E86AB"/>
      <rgbColor rgb="FFCCCCCC"/>
      <rgbColor rgb="FF808080"/>
      <rgbColor rgb="FF9999FF"/>
      <rgbColor rgb="FF8B3A3A"/>
      <rgbColor rgb="FFFFFDE7"/>
      <rgbColor rgb="FFEAF5EE"/>
      <rgbColor rgb="FF660066"/>
      <rgbColor rgb="FFFF8080"/>
      <rgbColor rgb="FF0066CC"/>
      <rgbColor rgb="FFD0E4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4F8"/>
      <rgbColor rgb="FFF2F2F2"/>
      <rgbColor rgb="FFFFF8E6"/>
      <rgbColor rgb="FF99CCFF"/>
      <rgbColor rgb="FFFF99CC"/>
      <rgbColor rgb="FFCC99FF"/>
      <rgbColor rgb="FFF9EDE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5C"/>
      <rgbColor rgb="FF2A7A4F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20"/>
    <col collapsed="false" customWidth="true" hidden="false" outlineLevel="0" max="5" min="5" style="0" width="18"/>
  </cols>
  <sheetData>
    <row r="1" customFormat="false" ht="36" hidden="false" customHeight="true" outlineLevel="0" collapsed="false">
      <c r="B1" s="1" t="s">
        <v>0</v>
      </c>
      <c r="C1" s="1"/>
      <c r="D1" s="1"/>
      <c r="E1" s="1"/>
    </row>
    <row r="2" customFormat="false" ht="19.5" hidden="false" customHeight="true" outlineLevel="0" collapsed="false">
      <c r="B2" s="2" t="s">
        <v>1</v>
      </c>
      <c r="C2" s="2"/>
      <c r="D2" s="2"/>
      <c r="E2" s="2"/>
    </row>
    <row r="3" customFormat="false" ht="9.75" hidden="false" customHeight="true" outlineLevel="0" collapsed="false"/>
    <row r="4" customFormat="false" ht="21.75" hidden="false" customHeight="true" outlineLevel="0" collapsed="false">
      <c r="B4" s="3" t="s">
        <v>2</v>
      </c>
      <c r="C4" s="3"/>
      <c r="D4" s="3"/>
      <c r="E4" s="3"/>
    </row>
    <row r="5" customFormat="false" ht="19.5" hidden="false" customHeight="true" outlineLevel="0" collapsed="false">
      <c r="B5" s="4" t="s">
        <v>3</v>
      </c>
      <c r="C5" s="4"/>
      <c r="D5" s="4"/>
      <c r="E5" s="4"/>
    </row>
    <row r="6" customFormat="false" ht="19.5" hidden="false" customHeight="true" outlineLevel="0" collapsed="false">
      <c r="B6" s="4" t="s">
        <v>4</v>
      </c>
      <c r="C6" s="4"/>
      <c r="D6" s="4"/>
      <c r="E6" s="4"/>
    </row>
    <row r="7" customFormat="false" ht="19.5" hidden="false" customHeight="true" outlineLevel="0" collapsed="false">
      <c r="B7" s="4" t="s">
        <v>5</v>
      </c>
      <c r="C7" s="4"/>
      <c r="D7" s="4"/>
      <c r="E7" s="4"/>
    </row>
    <row r="8" customFormat="false" ht="19.5" hidden="false" customHeight="true" outlineLevel="0" collapsed="false">
      <c r="B8" s="4" t="s">
        <v>6</v>
      </c>
      <c r="C8" s="4"/>
      <c r="D8" s="4"/>
      <c r="E8" s="4"/>
    </row>
    <row r="9" customFormat="false" ht="13.5" hidden="false" customHeight="true" outlineLevel="0" collapsed="false"/>
    <row r="10" customFormat="false" ht="18" hidden="false" customHeight="true" outlineLevel="0" collapsed="false">
      <c r="B10" s="5" t="s">
        <v>7</v>
      </c>
      <c r="C10" s="5" t="s">
        <v>8</v>
      </c>
      <c r="D10" s="5" t="s">
        <v>9</v>
      </c>
      <c r="E10" s="5" t="s">
        <v>10</v>
      </c>
    </row>
    <row r="11" customFormat="false" ht="18" hidden="false" customHeight="true" outlineLevel="0" collapsed="false">
      <c r="B11" s="6" t="s">
        <v>11</v>
      </c>
      <c r="C11" s="6" t="s">
        <v>12</v>
      </c>
      <c r="D11" s="6" t="s">
        <v>13</v>
      </c>
      <c r="E11" s="6" t="s">
        <v>14</v>
      </c>
    </row>
    <row r="12" customFormat="false" ht="18" hidden="false" customHeight="true" outlineLevel="0" collapsed="false">
      <c r="B12" s="7" t="s">
        <v>15</v>
      </c>
      <c r="C12" s="7" t="s">
        <v>16</v>
      </c>
      <c r="D12" s="7" t="s">
        <v>17</v>
      </c>
      <c r="E12" s="7" t="s">
        <v>14</v>
      </c>
    </row>
    <row r="13" customFormat="false" ht="18" hidden="false" customHeight="true" outlineLevel="0" collapsed="false">
      <c r="B13" s="8" t="s">
        <v>18</v>
      </c>
      <c r="C13" s="8" t="s">
        <v>19</v>
      </c>
      <c r="D13" s="8" t="s">
        <v>20</v>
      </c>
      <c r="E13" s="8" t="s">
        <v>14</v>
      </c>
    </row>
    <row r="14" customFormat="false" ht="18" hidden="false" customHeight="true" outlineLevel="0" collapsed="false">
      <c r="B14" s="8" t="s">
        <v>21</v>
      </c>
      <c r="C14" s="8" t="s">
        <v>22</v>
      </c>
      <c r="D14" s="8" t="s">
        <v>20</v>
      </c>
      <c r="E14" s="8" t="s">
        <v>14</v>
      </c>
    </row>
    <row r="15" customFormat="false" ht="18" hidden="false" customHeight="true" outlineLevel="0" collapsed="false">
      <c r="B15" s="7" t="s">
        <v>23</v>
      </c>
      <c r="C15" s="7" t="s">
        <v>24</v>
      </c>
      <c r="D15" s="7" t="s">
        <v>25</v>
      </c>
      <c r="E15" s="7" t="s">
        <v>14</v>
      </c>
    </row>
    <row r="16" customFormat="false" ht="18" hidden="false" customHeight="true" outlineLevel="0" collapsed="false">
      <c r="B16" s="9" t="s">
        <v>26</v>
      </c>
      <c r="C16" s="9" t="s">
        <v>27</v>
      </c>
      <c r="D16" s="9" t="s">
        <v>28</v>
      </c>
      <c r="E16" s="9" t="s">
        <v>14</v>
      </c>
    </row>
    <row r="17" customFormat="false" ht="18" hidden="false" customHeight="true" outlineLevel="0" collapsed="false">
      <c r="B17" s="9" t="s">
        <v>29</v>
      </c>
      <c r="C17" s="9" t="s">
        <v>30</v>
      </c>
      <c r="D17" s="9" t="s">
        <v>28</v>
      </c>
      <c r="E17" s="9" t="s">
        <v>14</v>
      </c>
    </row>
    <row r="18" customFormat="false" ht="18" hidden="false" customHeight="true" outlineLevel="0" collapsed="false">
      <c r="B18" s="10" t="s">
        <v>31</v>
      </c>
      <c r="C18" s="10" t="s">
        <v>32</v>
      </c>
      <c r="D18" s="10" t="s">
        <v>33</v>
      </c>
      <c r="E18" s="10" t="s">
        <v>14</v>
      </c>
    </row>
  </sheetData>
  <mergeCells count="7">
    <mergeCell ref="B1:E1"/>
    <mergeCell ref="B2:E2"/>
    <mergeCell ref="B4:E4"/>
    <mergeCell ref="B5:E5"/>
    <mergeCell ref="B6:E6"/>
    <mergeCell ref="B7:E7"/>
    <mergeCell ref="B8:E8"/>
  </mergeCells>
  <dataValidations count="1">
    <dataValidation allowBlank="false" errorStyle="stop" operator="between" showDropDown="false" showErrorMessage="false" showInputMessage="false" sqref="E11:E18" type="list">
      <formula1>"Not Started,In Progress,Complete"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7" min="4" style="0" width="12"/>
    <col collapsed="false" customWidth="true" hidden="false" outlineLevel="0" max="8" min="8" style="0" width="20"/>
  </cols>
  <sheetData>
    <row r="1" customFormat="false" ht="30" hidden="false" customHeight="true" outlineLevel="0" collapsed="false">
      <c r="A1" s="11" t="s">
        <v>34</v>
      </c>
      <c r="B1" s="11"/>
      <c r="C1" s="11"/>
      <c r="D1" s="11"/>
      <c r="E1" s="11"/>
      <c r="F1" s="11"/>
      <c r="G1" s="11"/>
      <c r="H1" s="11"/>
    </row>
    <row r="2" customFormat="false" ht="21.75" hidden="false" customHeight="true" outlineLevel="0" collapsed="false">
      <c r="A2" s="2" t="s">
        <v>35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12" t="s">
        <v>36</v>
      </c>
      <c r="B3" s="12"/>
      <c r="C3" s="12"/>
      <c r="D3" s="12"/>
      <c r="E3" s="12"/>
      <c r="F3" s="12"/>
      <c r="G3" s="12"/>
      <c r="H3" s="12"/>
    </row>
    <row r="4" customFormat="false" ht="19.5" hidden="false" customHeight="true" outlineLevel="0" collapsed="false">
      <c r="B4" s="13" t="s">
        <v>37</v>
      </c>
      <c r="C4" s="13"/>
      <c r="D4" s="13"/>
      <c r="E4" s="13"/>
      <c r="F4" s="13"/>
      <c r="G4" s="13"/>
      <c r="H4" s="13"/>
    </row>
    <row r="5" customFormat="false" ht="18" hidden="false" customHeight="true" outlineLevel="0" collapsed="false">
      <c r="B5" s="14" t="s">
        <v>38</v>
      </c>
      <c r="C5" s="14"/>
      <c r="D5" s="14"/>
      <c r="E5" s="14"/>
      <c r="F5" s="14"/>
      <c r="G5" s="14"/>
      <c r="H5" s="14"/>
    </row>
    <row r="6" customFormat="false" ht="18" hidden="false" customHeight="true" outlineLevel="0" collapsed="false">
      <c r="B6" s="15" t="s">
        <v>39</v>
      </c>
      <c r="C6" s="15"/>
      <c r="D6" s="15"/>
      <c r="E6" s="15" t="s">
        <v>40</v>
      </c>
      <c r="F6" s="15" t="s">
        <v>41</v>
      </c>
      <c r="G6" s="15"/>
      <c r="H6" s="15"/>
    </row>
    <row r="7" customFormat="false" ht="15.75" hidden="false" customHeight="true" outlineLevel="0" collapsed="false">
      <c r="B7" s="16" t="s">
        <v>42</v>
      </c>
      <c r="C7" s="16"/>
      <c r="D7" s="16"/>
      <c r="E7" s="17"/>
      <c r="F7" s="18"/>
      <c r="G7" s="18"/>
      <c r="H7" s="18"/>
    </row>
    <row r="8" customFormat="false" ht="15.75" hidden="false" customHeight="true" outlineLevel="0" collapsed="false">
      <c r="B8" s="6" t="s">
        <v>43</v>
      </c>
      <c r="C8" s="6"/>
      <c r="D8" s="6"/>
      <c r="E8" s="17"/>
      <c r="F8" s="17"/>
      <c r="G8" s="18"/>
      <c r="H8" s="18"/>
    </row>
    <row r="9" customFormat="false" ht="15.75" hidden="false" customHeight="true" outlineLevel="0" collapsed="false">
      <c r="B9" s="6" t="s">
        <v>44</v>
      </c>
      <c r="C9" s="6"/>
      <c r="D9" s="6"/>
      <c r="E9" s="17"/>
      <c r="F9" s="17"/>
      <c r="G9" s="18"/>
      <c r="H9" s="18"/>
    </row>
    <row r="10" customFormat="false" ht="15.75" hidden="false" customHeight="true" outlineLevel="0" collapsed="false">
      <c r="B10" s="6" t="s">
        <v>45</v>
      </c>
      <c r="C10" s="6"/>
      <c r="D10" s="6"/>
      <c r="E10" s="17"/>
      <c r="F10" s="17"/>
      <c r="G10" s="18"/>
      <c r="H10" s="18"/>
    </row>
    <row r="11" customFormat="false" ht="15.75" hidden="false" customHeight="true" outlineLevel="0" collapsed="false">
      <c r="B11" s="6" t="s">
        <v>46</v>
      </c>
      <c r="C11" s="6"/>
      <c r="D11" s="6"/>
      <c r="E11" s="17"/>
      <c r="F11" s="17"/>
      <c r="G11" s="18"/>
      <c r="H11" s="18"/>
    </row>
    <row r="12" customFormat="false" ht="7.5" hidden="false" customHeight="true" outlineLevel="0" collapsed="false"/>
    <row r="13" customFormat="false" ht="19.5" hidden="false" customHeight="true" outlineLevel="0" collapsed="false">
      <c r="B13" s="13" t="s">
        <v>47</v>
      </c>
      <c r="C13" s="13"/>
      <c r="D13" s="13"/>
      <c r="E13" s="13"/>
      <c r="F13" s="13"/>
      <c r="G13" s="13"/>
      <c r="H13" s="13"/>
    </row>
    <row r="14" customFormat="false" ht="18" hidden="false" customHeight="true" outlineLevel="0" collapsed="false">
      <c r="B14" s="14" t="s">
        <v>48</v>
      </c>
      <c r="C14" s="14"/>
      <c r="D14" s="14"/>
      <c r="E14" s="14"/>
      <c r="F14" s="14"/>
      <c r="G14" s="14"/>
      <c r="H14" s="14"/>
    </row>
    <row r="15" customFormat="false" ht="18" hidden="false" customHeight="true" outlineLevel="0" collapsed="false">
      <c r="B15" s="15" t="s">
        <v>39</v>
      </c>
      <c r="C15" s="15"/>
      <c r="D15" s="15"/>
      <c r="E15" s="15" t="s">
        <v>40</v>
      </c>
      <c r="F15" s="15" t="s">
        <v>41</v>
      </c>
      <c r="G15" s="15"/>
      <c r="H15" s="15"/>
    </row>
    <row r="16" customFormat="false" ht="15.75" hidden="false" customHeight="true" outlineLevel="0" collapsed="false">
      <c r="B16" s="16" t="s">
        <v>49</v>
      </c>
      <c r="C16" s="16"/>
      <c r="D16" s="16"/>
      <c r="E16" s="17"/>
      <c r="F16" s="18"/>
      <c r="G16" s="18"/>
      <c r="H16" s="18"/>
    </row>
    <row r="17" customFormat="false" ht="15.75" hidden="false" customHeight="true" outlineLevel="0" collapsed="false">
      <c r="B17" s="6" t="s">
        <v>50</v>
      </c>
      <c r="C17" s="6"/>
      <c r="D17" s="6"/>
      <c r="E17" s="17"/>
      <c r="F17" s="17"/>
      <c r="G17" s="18"/>
      <c r="H17" s="18"/>
    </row>
    <row r="18" customFormat="false" ht="15.75" hidden="false" customHeight="true" outlineLevel="0" collapsed="false">
      <c r="B18" s="6" t="s">
        <v>51</v>
      </c>
      <c r="C18" s="6"/>
      <c r="D18" s="6"/>
      <c r="E18" s="17"/>
      <c r="F18" s="17"/>
      <c r="G18" s="18"/>
      <c r="H18" s="18"/>
    </row>
    <row r="19" customFormat="false" ht="15.75" hidden="false" customHeight="true" outlineLevel="0" collapsed="false">
      <c r="B19" s="6" t="s">
        <v>52</v>
      </c>
      <c r="C19" s="6"/>
      <c r="D19" s="6"/>
      <c r="E19" s="17"/>
      <c r="F19" s="17"/>
      <c r="G19" s="18"/>
      <c r="H19" s="18"/>
    </row>
    <row r="20" customFormat="false" ht="15.75" hidden="false" customHeight="true" outlineLevel="0" collapsed="false">
      <c r="B20" s="6" t="s">
        <v>53</v>
      </c>
      <c r="C20" s="6"/>
      <c r="D20" s="6"/>
      <c r="E20" s="17"/>
      <c r="F20" s="17"/>
      <c r="G20" s="18"/>
      <c r="H20" s="18"/>
    </row>
    <row r="21" customFormat="false" ht="7.5" hidden="false" customHeight="true" outlineLevel="0" collapsed="false"/>
    <row r="22" customFormat="false" ht="19.5" hidden="false" customHeight="true" outlineLevel="0" collapsed="false">
      <c r="B22" s="13" t="s">
        <v>54</v>
      </c>
      <c r="C22" s="13"/>
      <c r="D22" s="13"/>
      <c r="E22" s="13"/>
      <c r="F22" s="13"/>
      <c r="G22" s="13"/>
      <c r="H22" s="13"/>
    </row>
    <row r="23" customFormat="false" ht="18" hidden="false" customHeight="true" outlineLevel="0" collapsed="false">
      <c r="B23" s="14" t="s">
        <v>55</v>
      </c>
      <c r="C23" s="14"/>
      <c r="D23" s="14"/>
      <c r="E23" s="14"/>
      <c r="F23" s="14"/>
      <c r="G23" s="14"/>
      <c r="H23" s="14"/>
    </row>
    <row r="24" customFormat="false" ht="18" hidden="false" customHeight="true" outlineLevel="0" collapsed="false">
      <c r="B24" s="15" t="s">
        <v>39</v>
      </c>
      <c r="C24" s="15"/>
      <c r="D24" s="15"/>
      <c r="E24" s="15" t="s">
        <v>40</v>
      </c>
      <c r="F24" s="15" t="s">
        <v>41</v>
      </c>
      <c r="G24" s="15"/>
      <c r="H24" s="15"/>
    </row>
    <row r="25" customFormat="false" ht="15.75" hidden="false" customHeight="true" outlineLevel="0" collapsed="false">
      <c r="B25" s="16" t="s">
        <v>56</v>
      </c>
      <c r="C25" s="16"/>
      <c r="D25" s="16"/>
      <c r="E25" s="17"/>
      <c r="F25" s="18"/>
      <c r="G25" s="18"/>
      <c r="H25" s="18"/>
    </row>
    <row r="26" customFormat="false" ht="15.75" hidden="false" customHeight="true" outlineLevel="0" collapsed="false">
      <c r="B26" s="6" t="s">
        <v>57</v>
      </c>
      <c r="C26" s="6"/>
      <c r="D26" s="6"/>
      <c r="E26" s="17"/>
      <c r="F26" s="17"/>
      <c r="G26" s="18"/>
      <c r="H26" s="18"/>
    </row>
    <row r="27" customFormat="false" ht="15.75" hidden="false" customHeight="true" outlineLevel="0" collapsed="false">
      <c r="B27" s="6" t="s">
        <v>58</v>
      </c>
      <c r="C27" s="6"/>
      <c r="D27" s="6"/>
      <c r="E27" s="17"/>
      <c r="F27" s="17"/>
      <c r="G27" s="18"/>
      <c r="H27" s="18"/>
    </row>
    <row r="28" customFormat="false" ht="15.75" hidden="false" customHeight="true" outlineLevel="0" collapsed="false">
      <c r="B28" s="6" t="s">
        <v>59</v>
      </c>
      <c r="C28" s="6"/>
      <c r="D28" s="6"/>
      <c r="E28" s="17"/>
      <c r="F28" s="17"/>
      <c r="G28" s="18"/>
      <c r="H28" s="18"/>
    </row>
    <row r="29" customFormat="false" ht="15.75" hidden="false" customHeight="true" outlineLevel="0" collapsed="false">
      <c r="B29" s="6" t="s">
        <v>60</v>
      </c>
      <c r="C29" s="6"/>
      <c r="D29" s="6"/>
      <c r="E29" s="17"/>
      <c r="F29" s="17"/>
      <c r="G29" s="18"/>
      <c r="H29" s="18"/>
    </row>
    <row r="30" customFormat="false" ht="7.5" hidden="false" customHeight="true" outlineLevel="0" collapsed="false"/>
    <row r="31" customFormat="false" ht="19.5" hidden="false" customHeight="true" outlineLevel="0" collapsed="false">
      <c r="B31" s="13" t="s">
        <v>61</v>
      </c>
      <c r="C31" s="13"/>
      <c r="D31" s="13"/>
      <c r="E31" s="13"/>
      <c r="F31" s="13"/>
      <c r="G31" s="13"/>
      <c r="H31" s="13"/>
    </row>
    <row r="32" customFormat="false" ht="18" hidden="false" customHeight="true" outlineLevel="0" collapsed="false">
      <c r="B32" s="14" t="s">
        <v>62</v>
      </c>
      <c r="C32" s="14"/>
      <c r="D32" s="14"/>
      <c r="E32" s="14"/>
      <c r="F32" s="14"/>
      <c r="G32" s="14"/>
      <c r="H32" s="14"/>
    </row>
    <row r="33" customFormat="false" ht="18" hidden="false" customHeight="true" outlineLevel="0" collapsed="false">
      <c r="B33" s="15" t="s">
        <v>39</v>
      </c>
      <c r="C33" s="15"/>
      <c r="D33" s="15"/>
      <c r="E33" s="15" t="s">
        <v>40</v>
      </c>
      <c r="F33" s="15" t="s">
        <v>41</v>
      </c>
      <c r="G33" s="15"/>
      <c r="H33" s="15"/>
    </row>
    <row r="34" customFormat="false" ht="15.75" hidden="false" customHeight="true" outlineLevel="0" collapsed="false">
      <c r="B34" s="16" t="s">
        <v>63</v>
      </c>
      <c r="C34" s="16"/>
      <c r="D34" s="16"/>
      <c r="E34" s="17"/>
      <c r="F34" s="18"/>
      <c r="G34" s="18"/>
      <c r="H34" s="18"/>
    </row>
    <row r="35" customFormat="false" ht="15.75" hidden="false" customHeight="true" outlineLevel="0" collapsed="false">
      <c r="B35" s="6" t="s">
        <v>64</v>
      </c>
      <c r="C35" s="6"/>
      <c r="D35" s="6"/>
      <c r="E35" s="17"/>
      <c r="F35" s="17"/>
      <c r="G35" s="18"/>
      <c r="H35" s="18"/>
    </row>
    <row r="36" customFormat="false" ht="15.75" hidden="false" customHeight="true" outlineLevel="0" collapsed="false">
      <c r="B36" s="6" t="s">
        <v>65</v>
      </c>
      <c r="C36" s="6"/>
      <c r="D36" s="6"/>
      <c r="E36" s="17"/>
      <c r="F36" s="17"/>
      <c r="G36" s="18"/>
      <c r="H36" s="18"/>
    </row>
    <row r="37" customFormat="false" ht="15.75" hidden="false" customHeight="true" outlineLevel="0" collapsed="false">
      <c r="B37" s="6" t="s">
        <v>66</v>
      </c>
      <c r="C37" s="6"/>
      <c r="D37" s="6"/>
      <c r="E37" s="17"/>
      <c r="F37" s="17"/>
      <c r="G37" s="18"/>
      <c r="H37" s="18"/>
    </row>
    <row r="38" customFormat="false" ht="15.75" hidden="false" customHeight="true" outlineLevel="0" collapsed="false">
      <c r="B38" s="6" t="s">
        <v>67</v>
      </c>
      <c r="C38" s="6"/>
      <c r="D38" s="6"/>
      <c r="E38" s="17"/>
      <c r="F38" s="17"/>
      <c r="G38" s="18"/>
      <c r="H38" s="18"/>
    </row>
    <row r="39" customFormat="false" ht="7.5" hidden="false" customHeight="true" outlineLevel="0" collapsed="false"/>
    <row r="40" customFormat="false" ht="19.5" hidden="false" customHeight="true" outlineLevel="0" collapsed="false">
      <c r="B40" s="13" t="s">
        <v>68</v>
      </c>
      <c r="C40" s="13"/>
      <c r="D40" s="13"/>
      <c r="E40" s="13"/>
      <c r="F40" s="13"/>
      <c r="G40" s="13"/>
      <c r="H40" s="13"/>
    </row>
    <row r="41" customFormat="false" ht="18" hidden="false" customHeight="true" outlineLevel="0" collapsed="false">
      <c r="B41" s="14" t="s">
        <v>69</v>
      </c>
      <c r="C41" s="14"/>
      <c r="D41" s="14"/>
      <c r="E41" s="14"/>
      <c r="F41" s="14"/>
      <c r="G41" s="14"/>
      <c r="H41" s="14"/>
    </row>
    <row r="42" customFormat="false" ht="18" hidden="false" customHeight="true" outlineLevel="0" collapsed="false">
      <c r="B42" s="15" t="s">
        <v>39</v>
      </c>
      <c r="C42" s="15"/>
      <c r="D42" s="15"/>
      <c r="E42" s="15" t="s">
        <v>40</v>
      </c>
      <c r="F42" s="15" t="s">
        <v>41</v>
      </c>
      <c r="G42" s="15"/>
      <c r="H42" s="15"/>
    </row>
    <row r="43" customFormat="false" ht="15.75" hidden="false" customHeight="true" outlineLevel="0" collapsed="false">
      <c r="B43" s="16" t="s">
        <v>70</v>
      </c>
      <c r="C43" s="16"/>
      <c r="D43" s="16"/>
      <c r="E43" s="17"/>
      <c r="F43" s="18"/>
      <c r="G43" s="18"/>
      <c r="H43" s="18"/>
    </row>
    <row r="44" customFormat="false" ht="15.75" hidden="false" customHeight="true" outlineLevel="0" collapsed="false">
      <c r="B44" s="6" t="s">
        <v>71</v>
      </c>
      <c r="C44" s="6"/>
      <c r="D44" s="6"/>
      <c r="E44" s="17"/>
      <c r="F44" s="17"/>
      <c r="G44" s="18"/>
      <c r="H44" s="18"/>
    </row>
    <row r="45" customFormat="false" ht="15.75" hidden="false" customHeight="true" outlineLevel="0" collapsed="false">
      <c r="B45" s="6" t="s">
        <v>72</v>
      </c>
      <c r="C45" s="6"/>
      <c r="D45" s="6"/>
      <c r="E45" s="17"/>
      <c r="F45" s="17"/>
      <c r="G45" s="18"/>
      <c r="H45" s="18"/>
    </row>
    <row r="46" customFormat="false" ht="15.75" hidden="false" customHeight="true" outlineLevel="0" collapsed="false">
      <c r="B46" s="6" t="s">
        <v>73</v>
      </c>
      <c r="C46" s="6"/>
      <c r="D46" s="6"/>
      <c r="E46" s="17"/>
      <c r="F46" s="17"/>
      <c r="G46" s="18"/>
      <c r="H46" s="18"/>
    </row>
    <row r="47" customFormat="false" ht="15.75" hidden="false" customHeight="true" outlineLevel="0" collapsed="false">
      <c r="B47" s="6" t="s">
        <v>74</v>
      </c>
      <c r="C47" s="6"/>
      <c r="D47" s="6"/>
      <c r="E47" s="17"/>
      <c r="F47" s="17"/>
      <c r="G47" s="18"/>
      <c r="H47" s="18"/>
    </row>
    <row r="48" customFormat="false" ht="7.5" hidden="false" customHeight="true" outlineLevel="0" collapsed="false"/>
    <row r="50" customFormat="false" ht="21.75" hidden="false" customHeight="true" outlineLevel="0" collapsed="false">
      <c r="B50" s="19" t="s">
        <v>75</v>
      </c>
      <c r="C50" s="19"/>
      <c r="D50" s="19"/>
      <c r="E50" s="19"/>
      <c r="F50" s="19"/>
      <c r="G50" s="19"/>
      <c r="H50" s="19"/>
    </row>
    <row r="51" customFormat="false" ht="18" hidden="false" customHeight="true" outlineLevel="0" collapsed="false">
      <c r="B51" s="20" t="s">
        <v>76</v>
      </c>
      <c r="C51" s="21" t="str">
        <f aca="false">IF(ISNUMBER(E6),REPT("█",E6)&amp;REPT("░",4-E6),"Enter score →")</f>
        <v>Enter score →</v>
      </c>
      <c r="D51" s="21"/>
      <c r="E51" s="21"/>
      <c r="F51" s="21"/>
      <c r="G51" s="22" t="str">
        <f aca="false">IF(ISNUMBER(E6),E6,"—")</f>
        <v>—</v>
      </c>
      <c r="H51" s="23" t="str">
        <f aca="false">IF(NOT(ISNUMBER(E6)),"—",IF(E6&lt;=0,"Ground Zero",IF(E6=1,"Tool Chaos",IF(E6=2,"Structured Pilots",IF(E6=3,"Scaled Practice","Competitive Advantage")))))</f>
        <v>—</v>
      </c>
    </row>
    <row r="52" customFormat="false" ht="18" hidden="false" customHeight="true" outlineLevel="0" collapsed="false">
      <c r="B52" s="20" t="s">
        <v>77</v>
      </c>
      <c r="C52" s="21" t="str">
        <f aca="false">IF(ISNUMBER(E13),REPT("█",E13)&amp;REPT("░",4-E13),"Enter score →")</f>
        <v>Enter score →</v>
      </c>
      <c r="D52" s="21"/>
      <c r="E52" s="21"/>
      <c r="F52" s="21"/>
      <c r="G52" s="22" t="str">
        <f aca="false">IF(ISNUMBER(E13),E13,"—")</f>
        <v>—</v>
      </c>
      <c r="H52" s="23" t="str">
        <f aca="false">IF(NOT(ISNUMBER(E13)),"—",IF(E13&lt;=0,"Ground Zero",IF(E13=1,"Tool Chaos",IF(E13=2,"Structured Pilots",IF(E13=3,"Scaled Practice","Competitive Advantage")))))</f>
        <v>—</v>
      </c>
    </row>
    <row r="53" customFormat="false" ht="18" hidden="false" customHeight="true" outlineLevel="0" collapsed="false">
      <c r="B53" s="20" t="s">
        <v>78</v>
      </c>
      <c r="C53" s="21" t="str">
        <f aca="false">IF(ISNUMBER(E20),REPT("█",E20)&amp;REPT("░",4-E20),"Enter score →")</f>
        <v>Enter score →</v>
      </c>
      <c r="D53" s="21"/>
      <c r="E53" s="21"/>
      <c r="F53" s="21"/>
      <c r="G53" s="22" t="str">
        <f aca="false">IF(ISNUMBER(E20),E20,"—")</f>
        <v>—</v>
      </c>
      <c r="H53" s="23" t="str">
        <f aca="false">IF(NOT(ISNUMBER(E20)),"—",IF(E20&lt;=0,"Ground Zero",IF(E20=1,"Tool Chaos",IF(E20=2,"Structured Pilots",IF(E20=3,"Scaled Practice","Competitive Advantage")))))</f>
        <v>—</v>
      </c>
    </row>
    <row r="54" customFormat="false" ht="18" hidden="false" customHeight="true" outlineLevel="0" collapsed="false">
      <c r="B54" s="20" t="s">
        <v>79</v>
      </c>
      <c r="C54" s="21" t="str">
        <f aca="false">IF(ISNUMBER(E27),REPT("█",E27)&amp;REPT("░",4-E27),"Enter score →")</f>
        <v>Enter score →</v>
      </c>
      <c r="D54" s="21"/>
      <c r="E54" s="21"/>
      <c r="F54" s="21"/>
      <c r="G54" s="22" t="str">
        <f aca="false">IF(ISNUMBER(E27),E27,"—")</f>
        <v>—</v>
      </c>
      <c r="H54" s="23" t="str">
        <f aca="false">IF(NOT(ISNUMBER(E27)),"—",IF(E27&lt;=0,"Ground Zero",IF(E27=1,"Tool Chaos",IF(E27=2,"Structured Pilots",IF(E27=3,"Scaled Practice","Competitive Advantage")))))</f>
        <v>—</v>
      </c>
    </row>
    <row r="55" customFormat="false" ht="18" hidden="false" customHeight="true" outlineLevel="0" collapsed="false">
      <c r="B55" s="20" t="s">
        <v>80</v>
      </c>
      <c r="C55" s="21" t="str">
        <f aca="false">IF(ISNUMBER(E34),REPT("█",E34)&amp;REPT("░",4-E34),"Enter score →")</f>
        <v>Enter score →</v>
      </c>
      <c r="D55" s="21"/>
      <c r="E55" s="21"/>
      <c r="F55" s="21"/>
      <c r="G55" s="22" t="str">
        <f aca="false">IF(ISNUMBER(E34),E34,"—")</f>
        <v>—</v>
      </c>
      <c r="H55" s="23" t="str">
        <f aca="false">IF(NOT(ISNUMBER(E34)),"—",IF(E34&lt;=0,"Ground Zero",IF(E34=1,"Tool Chaos",IF(E34=2,"Structured Pilots",IF(E34=3,"Scaled Practice","Competitive Advantage")))))</f>
        <v>—</v>
      </c>
    </row>
    <row r="56" customFormat="false" ht="21.75" hidden="false" customHeight="true" outlineLevel="0" collapsed="false">
      <c r="B56" s="24" t="s">
        <v>81</v>
      </c>
      <c r="C56" s="24"/>
      <c r="D56" s="24"/>
      <c r="E56" s="24"/>
      <c r="F56" s="24"/>
      <c r="G56" s="25" t="n">
        <f aca="false">IF(ISNUMBER(E6),E6,0)+IF(ISNUMBER(E13),E13,0)+IF(ISNUMBER(E20),E20,0)+IF(ISNUMBER(E27),E27,0)+IF(ISNUMBER(E34),E34,0)</f>
        <v>0</v>
      </c>
      <c r="H56" s="26" t="str">
        <f aca="false">IF(SUM(E6,E13,E20,E27,E34)=0,"Complete all 5 dimensions above",IF((IF(ISNUMBER(E6),E6,0)+IF(ISNUMBER(E13),E13,0)+IF(ISNUMBER(E20),E20,0)+IF(ISNUMBER(E27),E27,0)+IF(ISNUMBER(E34),E34,0))&lt;6,"Stage 0-1: Start with Leverage",IF((IF(ISNUMBER(E6),E6,0)+IF(ISNUMBER(E13),E13,0)+IF(ISNUMBER(E20),E20,0)+IF(ISNUMBER(E27),E27,0)+IF(ISNUMBER(E34),E34,0))&lt;11,"Stage 1-2: Begin structured pilots",IF((IF(ISNUMBER(E6),E6,0)+IF(ISNUMBER(E13),E13,0)+IF(ISNUMBER(E20),E20,0)+IF(ISNUMBER(E27),E27,0)+IF(ISNUMBER(E34),E34,0))&lt;16,"Stage 2-3: Ready to Integrate &amp; Fortify","Stage 3-4: Pursue Transformation"))))</f>
        <v>Complete all 5 dimensions above</v>
      </c>
    </row>
  </sheetData>
  <mergeCells count="60">
    <mergeCell ref="A1:H1"/>
    <mergeCell ref="A2:H2"/>
    <mergeCell ref="A3:H3"/>
    <mergeCell ref="B4:H4"/>
    <mergeCell ref="B5:H5"/>
    <mergeCell ref="B6:D6"/>
    <mergeCell ref="B7:D7"/>
    <mergeCell ref="E7:E11"/>
    <mergeCell ref="F7:H11"/>
    <mergeCell ref="B8:D8"/>
    <mergeCell ref="B9:D9"/>
    <mergeCell ref="B10:D10"/>
    <mergeCell ref="B11:D11"/>
    <mergeCell ref="B13:H13"/>
    <mergeCell ref="B14:H14"/>
    <mergeCell ref="B15:D15"/>
    <mergeCell ref="B16:D16"/>
    <mergeCell ref="E16:E20"/>
    <mergeCell ref="F16:H20"/>
    <mergeCell ref="B17:D17"/>
    <mergeCell ref="B18:D18"/>
    <mergeCell ref="B19:D19"/>
    <mergeCell ref="B20:D20"/>
    <mergeCell ref="B22:H22"/>
    <mergeCell ref="B23:H23"/>
    <mergeCell ref="B24:D24"/>
    <mergeCell ref="B25:D25"/>
    <mergeCell ref="E25:E29"/>
    <mergeCell ref="F25:H29"/>
    <mergeCell ref="B26:D26"/>
    <mergeCell ref="B27:D27"/>
    <mergeCell ref="B28:D28"/>
    <mergeCell ref="B29:D29"/>
    <mergeCell ref="B31:H31"/>
    <mergeCell ref="B32:H32"/>
    <mergeCell ref="B33:D33"/>
    <mergeCell ref="B34:D34"/>
    <mergeCell ref="E34:E38"/>
    <mergeCell ref="F34:H38"/>
    <mergeCell ref="B35:D35"/>
    <mergeCell ref="B36:D36"/>
    <mergeCell ref="B37:D37"/>
    <mergeCell ref="B38:D38"/>
    <mergeCell ref="B40:H40"/>
    <mergeCell ref="B41:H41"/>
    <mergeCell ref="B42:D42"/>
    <mergeCell ref="B43:D43"/>
    <mergeCell ref="E43:E47"/>
    <mergeCell ref="F43:H47"/>
    <mergeCell ref="B44:D44"/>
    <mergeCell ref="B45:D45"/>
    <mergeCell ref="B46:D46"/>
    <mergeCell ref="B47:D47"/>
    <mergeCell ref="B50:H50"/>
    <mergeCell ref="C51:F51"/>
    <mergeCell ref="C52:F52"/>
    <mergeCell ref="C53:F53"/>
    <mergeCell ref="C54:F54"/>
    <mergeCell ref="C55:F55"/>
    <mergeCell ref="B56:F56"/>
  </mergeCells>
  <dataValidations count="1">
    <dataValidation allowBlank="false" errorStyle="stop" operator="between" showDropDown="false" showErrorMessage="false" showInputMessage="false" sqref="E7 E16 E25 E34 E43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3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22"/>
  </cols>
  <sheetData>
    <row r="1" customFormat="false" ht="30" hidden="false" customHeight="true" outlineLevel="0" collapsed="false">
      <c r="A1" s="11" t="s">
        <v>82</v>
      </c>
      <c r="B1" s="11"/>
      <c r="C1" s="11"/>
      <c r="D1" s="11"/>
      <c r="E1" s="11"/>
      <c r="F1" s="11"/>
      <c r="G1" s="11"/>
      <c r="H1" s="11"/>
    </row>
    <row r="2" customFormat="false" ht="21.75" hidden="false" customHeight="true" outlineLevel="0" collapsed="false">
      <c r="A2" s="2" t="s">
        <v>83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12" t="s">
        <v>84</v>
      </c>
      <c r="B3" s="12"/>
      <c r="C3" s="12"/>
      <c r="D3" s="12"/>
      <c r="E3" s="12"/>
      <c r="F3" s="12"/>
      <c r="G3" s="12"/>
      <c r="H3" s="12"/>
    </row>
    <row r="4" customFormat="false" ht="13.5" hidden="false" customHeight="true" outlineLevel="0" collapsed="false"/>
    <row r="5" customFormat="false" ht="27.75" hidden="false" customHeight="true" outlineLevel="0" collapsed="false">
      <c r="B5" s="5" t="s">
        <v>85</v>
      </c>
      <c r="C5" s="5" t="s">
        <v>86</v>
      </c>
      <c r="D5" s="5" t="s">
        <v>87</v>
      </c>
      <c r="E5" s="5" t="s">
        <v>88</v>
      </c>
      <c r="F5" s="5" t="s">
        <v>89</v>
      </c>
      <c r="G5" s="27" t="s">
        <v>90</v>
      </c>
      <c r="H5" s="5" t="s">
        <v>91</v>
      </c>
    </row>
    <row r="6" customFormat="false" ht="13.5" hidden="false" customHeight="true" outlineLevel="0" collapsed="false">
      <c r="B6" s="28" t="s">
        <v>92</v>
      </c>
      <c r="C6" s="28"/>
      <c r="D6" s="28"/>
      <c r="E6" s="28"/>
      <c r="F6" s="28"/>
      <c r="G6" s="28"/>
      <c r="H6" s="28"/>
    </row>
    <row r="7" customFormat="false" ht="18" hidden="false" customHeight="true" outlineLevel="0" collapsed="false">
      <c r="B7" s="29" t="s">
        <v>93</v>
      </c>
      <c r="C7" s="29" t="s">
        <v>94</v>
      </c>
      <c r="D7" s="29" t="n">
        <v>52</v>
      </c>
      <c r="E7" s="29" t="n">
        <v>2.5</v>
      </c>
      <c r="F7" s="29" t="n">
        <v>3</v>
      </c>
      <c r="G7" s="30" t="n">
        <f aca="false">D7*E7*F7</f>
        <v>390</v>
      </c>
      <c r="H7" s="31" t="s">
        <v>95</v>
      </c>
    </row>
    <row r="8" customFormat="false" ht="18" hidden="false" customHeight="true" outlineLevel="0" collapsed="false">
      <c r="B8" s="32"/>
      <c r="C8" s="32"/>
      <c r="D8" s="32"/>
      <c r="E8" s="32"/>
      <c r="F8" s="32"/>
      <c r="G8" s="22" t="str">
        <f aca="false">IF(AND(ISNUMBER(D8),ISNUMBER(E8),ISNUMBER(F8)),D8*E8*F8,"")</f>
        <v/>
      </c>
      <c r="H8" s="32"/>
    </row>
    <row r="9" customFormat="false" ht="18" hidden="false" customHeight="true" outlineLevel="0" collapsed="false">
      <c r="B9" s="32"/>
      <c r="C9" s="32"/>
      <c r="D9" s="32"/>
      <c r="E9" s="32"/>
      <c r="F9" s="32"/>
      <c r="G9" s="22" t="str">
        <f aca="false">IF(AND(ISNUMBER(D9),ISNUMBER(E9),ISNUMBER(F9)),D9*E9*F9,"")</f>
        <v/>
      </c>
      <c r="H9" s="32"/>
    </row>
    <row r="10" customFormat="false" ht="18" hidden="false" customHeight="true" outlineLevel="0" collapsed="false">
      <c r="B10" s="32"/>
      <c r="C10" s="32"/>
      <c r="D10" s="32"/>
      <c r="E10" s="32"/>
      <c r="F10" s="32"/>
      <c r="G10" s="22" t="str">
        <f aca="false">IF(AND(ISNUMBER(D10),ISNUMBER(E10),ISNUMBER(F10)),D10*E10*F10,"")</f>
        <v/>
      </c>
      <c r="H10" s="32"/>
    </row>
    <row r="11" customFormat="false" ht="18" hidden="false" customHeight="true" outlineLevel="0" collapsed="false">
      <c r="B11" s="32"/>
      <c r="C11" s="32"/>
      <c r="D11" s="32"/>
      <c r="E11" s="32"/>
      <c r="F11" s="32"/>
      <c r="G11" s="22" t="str">
        <f aca="false">IF(AND(ISNUMBER(D11),ISNUMBER(E11),ISNUMBER(F11)),D11*E11*F11,"")</f>
        <v/>
      </c>
      <c r="H11" s="32"/>
    </row>
    <row r="12" customFormat="false" ht="18" hidden="false" customHeight="true" outlineLevel="0" collapsed="false">
      <c r="B12" s="32"/>
      <c r="C12" s="32"/>
      <c r="D12" s="32"/>
      <c r="E12" s="32"/>
      <c r="F12" s="32"/>
      <c r="G12" s="22" t="str">
        <f aca="false">IF(AND(ISNUMBER(D12),ISNUMBER(E12),ISNUMBER(F12)),D12*E12*F12,"")</f>
        <v/>
      </c>
      <c r="H12" s="32"/>
    </row>
    <row r="13" customFormat="false" ht="18" hidden="false" customHeight="true" outlineLevel="0" collapsed="false">
      <c r="B13" s="32"/>
      <c r="C13" s="32"/>
      <c r="D13" s="32"/>
      <c r="E13" s="32"/>
      <c r="F13" s="32"/>
      <c r="G13" s="22" t="str">
        <f aca="false">IF(AND(ISNUMBER(D13),ISNUMBER(E13),ISNUMBER(F13)),D13*E13*F13,"")</f>
        <v/>
      </c>
      <c r="H13" s="32"/>
    </row>
    <row r="14" customFormat="false" ht="18" hidden="false" customHeight="true" outlineLevel="0" collapsed="false">
      <c r="B14" s="32"/>
      <c r="C14" s="32"/>
      <c r="D14" s="32"/>
      <c r="E14" s="32"/>
      <c r="F14" s="32"/>
      <c r="G14" s="22" t="str">
        <f aca="false">IF(AND(ISNUMBER(D14),ISNUMBER(E14),ISNUMBER(F14)),D14*E14*F14,"")</f>
        <v/>
      </c>
      <c r="H14" s="32"/>
    </row>
    <row r="15" customFormat="false" ht="18" hidden="false" customHeight="true" outlineLevel="0" collapsed="false">
      <c r="B15" s="32"/>
      <c r="C15" s="32"/>
      <c r="D15" s="32"/>
      <c r="E15" s="32"/>
      <c r="F15" s="32"/>
      <c r="G15" s="22" t="str">
        <f aca="false">IF(AND(ISNUMBER(D15),ISNUMBER(E15),ISNUMBER(F15)),D15*E15*F15,"")</f>
        <v/>
      </c>
      <c r="H15" s="32"/>
    </row>
    <row r="16" customFormat="false" ht="18" hidden="false" customHeight="true" outlineLevel="0" collapsed="false">
      <c r="B16" s="32"/>
      <c r="C16" s="32"/>
      <c r="D16" s="32"/>
      <c r="E16" s="32"/>
      <c r="F16" s="32"/>
      <c r="G16" s="22" t="str">
        <f aca="false">IF(AND(ISNUMBER(D16),ISNUMBER(E16),ISNUMBER(F16)),D16*E16*F16,"")</f>
        <v/>
      </c>
      <c r="H16" s="32"/>
    </row>
    <row r="17" customFormat="false" ht="18" hidden="false" customHeight="true" outlineLevel="0" collapsed="false">
      <c r="B17" s="32"/>
      <c r="C17" s="32"/>
      <c r="D17" s="32"/>
      <c r="E17" s="32"/>
      <c r="F17" s="32"/>
      <c r="G17" s="22" t="str">
        <f aca="false">IF(AND(ISNUMBER(D17),ISNUMBER(E17),ISNUMBER(F17)),D17*E17*F17,"")</f>
        <v/>
      </c>
      <c r="H17" s="32"/>
    </row>
    <row r="18" customFormat="false" ht="18" hidden="false" customHeight="true" outlineLevel="0" collapsed="false">
      <c r="B18" s="32"/>
      <c r="C18" s="32"/>
      <c r="D18" s="32"/>
      <c r="E18" s="32"/>
      <c r="F18" s="32"/>
      <c r="G18" s="22" t="str">
        <f aca="false">IF(AND(ISNUMBER(D18),ISNUMBER(E18),ISNUMBER(F18)),D18*E18*F18,"")</f>
        <v/>
      </c>
      <c r="H18" s="32"/>
    </row>
    <row r="19" customFormat="false" ht="18" hidden="false" customHeight="true" outlineLevel="0" collapsed="false">
      <c r="B19" s="32"/>
      <c r="C19" s="32"/>
      <c r="D19" s="32"/>
      <c r="E19" s="32"/>
      <c r="F19" s="32"/>
      <c r="G19" s="22" t="str">
        <f aca="false">IF(AND(ISNUMBER(D19),ISNUMBER(E19),ISNUMBER(F19)),D19*E19*F19,"")</f>
        <v/>
      </c>
      <c r="H19" s="32"/>
    </row>
    <row r="20" customFormat="false" ht="18" hidden="false" customHeight="true" outlineLevel="0" collapsed="false">
      <c r="B20" s="32"/>
      <c r="C20" s="32"/>
      <c r="D20" s="32"/>
      <c r="E20" s="32"/>
      <c r="F20" s="32"/>
      <c r="G20" s="22" t="str">
        <f aca="false">IF(AND(ISNUMBER(D20),ISNUMBER(E20),ISNUMBER(F20)),D20*E20*F20,"")</f>
        <v/>
      </c>
      <c r="H20" s="32"/>
    </row>
    <row r="21" customFormat="false" ht="18" hidden="false" customHeight="true" outlineLevel="0" collapsed="false">
      <c r="B21" s="32"/>
      <c r="C21" s="32"/>
      <c r="D21" s="32"/>
      <c r="E21" s="32"/>
      <c r="F21" s="32"/>
      <c r="G21" s="22" t="str">
        <f aca="false">IF(AND(ISNUMBER(D21),ISNUMBER(E21),ISNUMBER(F21)),D21*E21*F21,"")</f>
        <v/>
      </c>
      <c r="H21" s="32"/>
    </row>
    <row r="22" customFormat="false" ht="18" hidden="false" customHeight="true" outlineLevel="0" collapsed="false">
      <c r="B22" s="32"/>
      <c r="C22" s="32"/>
      <c r="D22" s="32"/>
      <c r="E22" s="32"/>
      <c r="F22" s="32"/>
      <c r="G22" s="22" t="str">
        <f aca="false">IF(AND(ISNUMBER(D22),ISNUMBER(E22),ISNUMBER(F22)),D22*E22*F22,"")</f>
        <v/>
      </c>
      <c r="H22" s="32"/>
    </row>
    <row r="23" customFormat="false" ht="18" hidden="false" customHeight="true" outlineLevel="0" collapsed="false">
      <c r="B23" s="32"/>
      <c r="C23" s="32"/>
      <c r="D23" s="32"/>
      <c r="E23" s="32"/>
      <c r="F23" s="32"/>
      <c r="G23" s="22" t="str">
        <f aca="false">IF(AND(ISNUMBER(D23),ISNUMBER(E23),ISNUMBER(F23)),D23*E23*F23,"")</f>
        <v/>
      </c>
      <c r="H23" s="32"/>
    </row>
    <row r="24" customFormat="false" ht="18" hidden="false" customHeight="true" outlineLevel="0" collapsed="false">
      <c r="B24" s="32"/>
      <c r="C24" s="32"/>
      <c r="D24" s="32"/>
      <c r="E24" s="32"/>
      <c r="F24" s="32"/>
      <c r="G24" s="22" t="str">
        <f aca="false">IF(AND(ISNUMBER(D24),ISNUMBER(E24),ISNUMBER(F24)),D24*E24*F24,"")</f>
        <v/>
      </c>
      <c r="H24" s="32"/>
    </row>
    <row r="25" customFormat="false" ht="18" hidden="false" customHeight="true" outlineLevel="0" collapsed="false">
      <c r="B25" s="32"/>
      <c r="C25" s="32"/>
      <c r="D25" s="32"/>
      <c r="E25" s="32"/>
      <c r="F25" s="32"/>
      <c r="G25" s="22" t="str">
        <f aca="false">IF(AND(ISNUMBER(D25),ISNUMBER(E25),ISNUMBER(F25)),D25*E25*F25,"")</f>
        <v/>
      </c>
      <c r="H25" s="32"/>
    </row>
    <row r="26" customFormat="false" ht="18" hidden="false" customHeight="true" outlineLevel="0" collapsed="false">
      <c r="B26" s="32"/>
      <c r="C26" s="32"/>
      <c r="D26" s="32"/>
      <c r="E26" s="32"/>
      <c r="F26" s="32"/>
      <c r="G26" s="22" t="str">
        <f aca="false">IF(AND(ISNUMBER(D26),ISNUMBER(E26),ISNUMBER(F26)),D26*E26*F26,"")</f>
        <v/>
      </c>
      <c r="H26" s="32"/>
    </row>
    <row r="27" customFormat="false" ht="18" hidden="false" customHeight="true" outlineLevel="0" collapsed="false">
      <c r="B27" s="32"/>
      <c r="C27" s="32"/>
      <c r="D27" s="32"/>
      <c r="E27" s="32"/>
      <c r="F27" s="32"/>
      <c r="G27" s="22" t="str">
        <f aca="false">IF(AND(ISNUMBER(D27),ISNUMBER(E27),ISNUMBER(F27)),D27*E27*F27,"")</f>
        <v/>
      </c>
      <c r="H27" s="32"/>
    </row>
    <row r="29" customFormat="false" ht="19.5" hidden="false" customHeight="true" outlineLevel="0" collapsed="false">
      <c r="B29" s="33" t="s">
        <v>96</v>
      </c>
      <c r="C29" s="33"/>
      <c r="D29" s="33"/>
      <c r="E29" s="33"/>
      <c r="F29" s="33"/>
      <c r="G29" s="34" t="n">
        <f aca="false">SUMPRODUCT((D8:D27)*(E8:E27)*(F8:F27))</f>
        <v>0</v>
      </c>
      <c r="H29" s="35" t="s">
        <v>97</v>
      </c>
    </row>
  </sheetData>
  <mergeCells count="5">
    <mergeCell ref="A1:H1"/>
    <mergeCell ref="A2:H2"/>
    <mergeCell ref="A3:H3"/>
    <mergeCell ref="B6:H6"/>
    <mergeCell ref="B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4" min="3" style="0" width="11"/>
    <col collapsed="false" customWidth="true" hidden="false" outlineLevel="0" max="6" min="5" style="0" width="12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0" min="10" style="0" width="20"/>
  </cols>
  <sheetData>
    <row r="1" customFormat="false" ht="30" hidden="false" customHeight="true" outlineLevel="0" collapsed="false">
      <c r="A1" s="11" t="s">
        <v>98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21.75" hidden="false" customHeight="true" outlineLevel="0" collapsed="false">
      <c r="A2" s="2" t="s">
        <v>99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7.75" hidden="false" customHeight="true" outlineLevel="0" collapsed="false">
      <c r="A3" s="12" t="s">
        <v>100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9.5" hidden="false" customHeight="true" outlineLevel="0" collapsed="false">
      <c r="B4" s="36" t="s">
        <v>101</v>
      </c>
      <c r="C4" s="36"/>
      <c r="D4" s="36"/>
      <c r="E4" s="36"/>
      <c r="F4" s="36"/>
      <c r="G4" s="36"/>
      <c r="H4" s="36"/>
      <c r="I4" s="36"/>
      <c r="J4" s="36"/>
    </row>
    <row r="5" customFormat="false" ht="42" hidden="false" customHeight="true" outlineLevel="0" collapsed="false">
      <c r="B5" s="5" t="s">
        <v>85</v>
      </c>
      <c r="C5" s="5" t="s">
        <v>102</v>
      </c>
      <c r="D5" s="5" t="s">
        <v>103</v>
      </c>
      <c r="E5" s="5" t="s">
        <v>104</v>
      </c>
      <c r="F5" s="5" t="s">
        <v>105</v>
      </c>
      <c r="G5" s="5" t="s">
        <v>106</v>
      </c>
      <c r="H5" s="37" t="s">
        <v>107</v>
      </c>
      <c r="I5" s="5" t="s">
        <v>108</v>
      </c>
      <c r="J5" s="5" t="s">
        <v>109</v>
      </c>
    </row>
    <row r="6" customFormat="false" ht="18" hidden="false" customHeight="true" outlineLevel="0" collapsed="false">
      <c r="B6" s="30" t="s">
        <v>93</v>
      </c>
      <c r="C6" s="30" t="n">
        <v>5</v>
      </c>
      <c r="D6" s="30" t="n">
        <v>4</v>
      </c>
      <c r="E6" s="30" t="n">
        <v>4</v>
      </c>
      <c r="F6" s="30" t="n">
        <v>4</v>
      </c>
      <c r="G6" s="30" t="n">
        <v>4</v>
      </c>
      <c r="H6" s="30" t="n">
        <v>2</v>
      </c>
      <c r="I6" s="30" t="n">
        <f aca="false">C6+D6+E6+F6+G6-H6</f>
        <v>19</v>
      </c>
      <c r="J6" s="30" t="str">
        <f aca="false">IF(I6&gt;=18,"✓ Strong Pilot Candidate",IF(I6&gt;=12,"◑ Possible — Review Further","✗ Low Priority"))</f>
        <v>✓ Strong Pilot Candidate</v>
      </c>
    </row>
    <row r="7" customFormat="false" ht="18" hidden="false" customHeight="true" outlineLevel="0" collapsed="false">
      <c r="B7" s="32"/>
      <c r="C7" s="32"/>
      <c r="D7" s="32"/>
      <c r="E7" s="32"/>
      <c r="F7" s="32"/>
      <c r="G7" s="32"/>
      <c r="H7" s="32"/>
      <c r="I7" s="38" t="str">
        <f aca="false">IF(COUNTA(C7:H7)=6,C7+D7+E7+F7+G7-H7,"")</f>
        <v/>
      </c>
      <c r="J7" s="22" t="str">
        <f aca="false">IF(I7="","",IF(I7&gt;=18,"✓ Strong Pilot Candidate",IF(I7&gt;=12,"◑ Possible — Review Further","✗ Low Priority")))</f>
        <v/>
      </c>
    </row>
    <row r="8" customFormat="false" ht="18" hidden="false" customHeight="true" outlineLevel="0" collapsed="false">
      <c r="B8" s="32"/>
      <c r="C8" s="32"/>
      <c r="D8" s="32"/>
      <c r="E8" s="32"/>
      <c r="F8" s="32"/>
      <c r="G8" s="32"/>
      <c r="H8" s="32"/>
      <c r="I8" s="38" t="str">
        <f aca="false">IF(COUNTA(C8:H8)=6,C8+D8+E8+F8+G8-H8,"")</f>
        <v/>
      </c>
      <c r="J8" s="22" t="str">
        <f aca="false">IF(I8="","",IF(I8&gt;=18,"✓ Strong Pilot Candidate",IF(I8&gt;=12,"◑ Possible — Review Further","✗ Low Priority")))</f>
        <v/>
      </c>
    </row>
    <row r="9" customFormat="false" ht="18" hidden="false" customHeight="true" outlineLevel="0" collapsed="false">
      <c r="B9" s="32"/>
      <c r="C9" s="32"/>
      <c r="D9" s="32"/>
      <c r="E9" s="32"/>
      <c r="F9" s="32"/>
      <c r="G9" s="32"/>
      <c r="H9" s="32"/>
      <c r="I9" s="38" t="str">
        <f aca="false">IF(COUNTA(C9:H9)=6,C9+D9+E9+F9+G9-H9,"")</f>
        <v/>
      </c>
      <c r="J9" s="22" t="str">
        <f aca="false">IF(I9="","",IF(I9&gt;=18,"✓ Strong Pilot Candidate",IF(I9&gt;=12,"◑ Possible — Review Further","✗ Low Priority")))</f>
        <v/>
      </c>
    </row>
    <row r="10" customFormat="false" ht="18" hidden="false" customHeight="true" outlineLevel="0" collapsed="false">
      <c r="B10" s="32"/>
      <c r="C10" s="32"/>
      <c r="D10" s="32"/>
      <c r="E10" s="32"/>
      <c r="F10" s="32"/>
      <c r="G10" s="32"/>
      <c r="H10" s="32"/>
      <c r="I10" s="38" t="str">
        <f aca="false">IF(COUNTA(C10:H10)=6,C10+D10+E10+F10+G10-H10,"")</f>
        <v/>
      </c>
      <c r="J10" s="22" t="str">
        <f aca="false">IF(I10="","",IF(I10&gt;=18,"✓ Strong Pilot Candidate",IF(I10&gt;=12,"◑ Possible — Review Further","✗ Low Priority")))</f>
        <v/>
      </c>
    </row>
    <row r="11" customFormat="false" ht="18" hidden="false" customHeight="true" outlineLevel="0" collapsed="false">
      <c r="B11" s="32"/>
      <c r="C11" s="32"/>
      <c r="D11" s="32"/>
      <c r="E11" s="32"/>
      <c r="F11" s="32"/>
      <c r="G11" s="32"/>
      <c r="H11" s="32"/>
      <c r="I11" s="38" t="str">
        <f aca="false">IF(COUNTA(C11:H11)=6,C11+D11+E11+F11+G11-H11,"")</f>
        <v/>
      </c>
      <c r="J11" s="22" t="str">
        <f aca="false">IF(I11="","",IF(I11&gt;=18,"✓ Strong Pilot Candidate",IF(I11&gt;=12,"◑ Possible — Review Further","✗ Low Priority")))</f>
        <v/>
      </c>
    </row>
    <row r="12" customFormat="false" ht="18" hidden="false" customHeight="true" outlineLevel="0" collapsed="false">
      <c r="B12" s="32"/>
      <c r="C12" s="32"/>
      <c r="D12" s="32"/>
      <c r="E12" s="32"/>
      <c r="F12" s="32"/>
      <c r="G12" s="32"/>
      <c r="H12" s="32"/>
      <c r="I12" s="38" t="str">
        <f aca="false">IF(COUNTA(C12:H12)=6,C12+D12+E12+F12+G12-H12,"")</f>
        <v/>
      </c>
      <c r="J12" s="22" t="str">
        <f aca="false">IF(I12="","",IF(I12&gt;=18,"✓ Strong Pilot Candidate",IF(I12&gt;=12,"◑ Possible — Review Further","✗ Low Priority")))</f>
        <v/>
      </c>
    </row>
    <row r="13" customFormat="false" ht="18" hidden="false" customHeight="true" outlineLevel="0" collapsed="false">
      <c r="B13" s="32"/>
      <c r="C13" s="32"/>
      <c r="D13" s="32"/>
      <c r="E13" s="32"/>
      <c r="F13" s="32"/>
      <c r="G13" s="32"/>
      <c r="H13" s="32"/>
      <c r="I13" s="38" t="str">
        <f aca="false">IF(COUNTA(C13:H13)=6,C13+D13+E13+F13+G13-H13,"")</f>
        <v/>
      </c>
      <c r="J13" s="22" t="str">
        <f aca="false">IF(I13="","",IF(I13&gt;=18,"✓ Strong Pilot Candidate",IF(I13&gt;=12,"◑ Possible — Review Further","✗ Low Priority")))</f>
        <v/>
      </c>
    </row>
    <row r="14" customFormat="false" ht="18" hidden="false" customHeight="true" outlineLevel="0" collapsed="false">
      <c r="B14" s="32"/>
      <c r="C14" s="32"/>
      <c r="D14" s="32"/>
      <c r="E14" s="32"/>
      <c r="F14" s="32"/>
      <c r="G14" s="32"/>
      <c r="H14" s="32"/>
      <c r="I14" s="38" t="str">
        <f aca="false">IF(COUNTA(C14:H14)=6,C14+D14+E14+F14+G14-H14,"")</f>
        <v/>
      </c>
      <c r="J14" s="22" t="str">
        <f aca="false">IF(I14="","",IF(I14&gt;=18,"✓ Strong Pilot Candidate",IF(I14&gt;=12,"◑ Possible — Review Further","✗ Low Priority")))</f>
        <v/>
      </c>
    </row>
    <row r="15" customFormat="false" ht="18" hidden="false" customHeight="true" outlineLevel="0" collapsed="false">
      <c r="B15" s="32"/>
      <c r="C15" s="32"/>
      <c r="D15" s="32"/>
      <c r="E15" s="32"/>
      <c r="F15" s="32"/>
      <c r="G15" s="32"/>
      <c r="H15" s="32"/>
      <c r="I15" s="38" t="str">
        <f aca="false">IF(COUNTA(C15:H15)=6,C15+D15+E15+F15+G15-H15,"")</f>
        <v/>
      </c>
      <c r="J15" s="22" t="str">
        <f aca="false">IF(I15="","",IF(I15&gt;=18,"✓ Strong Pilot Candidate",IF(I15&gt;=12,"◑ Possible — Review Further","✗ Low Priority")))</f>
        <v/>
      </c>
    </row>
    <row r="16" customFormat="false" ht="18" hidden="false" customHeight="true" outlineLevel="0" collapsed="false">
      <c r="B16" s="32"/>
      <c r="C16" s="32"/>
      <c r="D16" s="32"/>
      <c r="E16" s="32"/>
      <c r="F16" s="32"/>
      <c r="G16" s="32"/>
      <c r="H16" s="32"/>
      <c r="I16" s="38" t="str">
        <f aca="false">IF(COUNTA(C16:H16)=6,C16+D16+E16+F16+G16-H16,"")</f>
        <v/>
      </c>
      <c r="J16" s="22" t="str">
        <f aca="false">IF(I16="","",IF(I16&gt;=18,"✓ Strong Pilot Candidate",IF(I16&gt;=12,"◑ Possible — Review Further","✗ Low Priority")))</f>
        <v/>
      </c>
    </row>
    <row r="17" customFormat="false" ht="18" hidden="false" customHeight="true" outlineLevel="0" collapsed="false">
      <c r="B17" s="32"/>
      <c r="C17" s="32"/>
      <c r="D17" s="32"/>
      <c r="E17" s="32"/>
      <c r="F17" s="32"/>
      <c r="G17" s="32"/>
      <c r="H17" s="32"/>
      <c r="I17" s="38" t="str">
        <f aca="false">IF(COUNTA(C17:H17)=6,C17+D17+E17+F17+G17-H17,"")</f>
        <v/>
      </c>
      <c r="J17" s="22" t="str">
        <f aca="false">IF(I17="","",IF(I17&gt;=18,"✓ Strong Pilot Candidate",IF(I17&gt;=12,"◑ Possible — Review Further","✗ Low Priority")))</f>
        <v/>
      </c>
    </row>
    <row r="18" customFormat="false" ht="18" hidden="false" customHeight="true" outlineLevel="0" collapsed="false">
      <c r="B18" s="32"/>
      <c r="C18" s="32"/>
      <c r="D18" s="32"/>
      <c r="E18" s="32"/>
      <c r="F18" s="32"/>
      <c r="G18" s="32"/>
      <c r="H18" s="32"/>
      <c r="I18" s="38" t="str">
        <f aca="false">IF(COUNTA(C18:H18)=6,C18+D18+E18+F18+G18-H18,"")</f>
        <v/>
      </c>
      <c r="J18" s="22" t="str">
        <f aca="false">IF(I18="","",IF(I18&gt;=18,"✓ Strong Pilot Candidate",IF(I18&gt;=12,"◑ Possible — Review Further","✗ Low Priority")))</f>
        <v/>
      </c>
    </row>
    <row r="19" customFormat="false" ht="18" hidden="false" customHeight="true" outlineLevel="0" collapsed="false">
      <c r="B19" s="32"/>
      <c r="C19" s="32"/>
      <c r="D19" s="32"/>
      <c r="E19" s="32"/>
      <c r="F19" s="32"/>
      <c r="G19" s="32"/>
      <c r="H19" s="32"/>
      <c r="I19" s="38" t="str">
        <f aca="false">IF(COUNTA(C19:H19)=6,C19+D19+E19+F19+G19-H19,"")</f>
        <v/>
      </c>
      <c r="J19" s="22" t="str">
        <f aca="false">IF(I19="","",IF(I19&gt;=18,"✓ Strong Pilot Candidate",IF(I19&gt;=12,"◑ Possible — Review Further","✗ Low Priority")))</f>
        <v/>
      </c>
    </row>
    <row r="20" customFormat="false" ht="18" hidden="false" customHeight="true" outlineLevel="0" collapsed="false">
      <c r="B20" s="32"/>
      <c r="C20" s="32"/>
      <c r="D20" s="32"/>
      <c r="E20" s="32"/>
      <c r="F20" s="32"/>
      <c r="G20" s="32"/>
      <c r="H20" s="32"/>
      <c r="I20" s="38" t="str">
        <f aca="false">IF(COUNTA(C20:H20)=6,C20+D20+E20+F20+G20-H20,"")</f>
        <v/>
      </c>
      <c r="J20" s="22" t="str">
        <f aca="false">IF(I20="","",IF(I20&gt;=18,"✓ Strong Pilot Candidate",IF(I20&gt;=12,"◑ Possible — Review Further","✗ Low Priority")))</f>
        <v/>
      </c>
    </row>
    <row r="21" customFormat="false" ht="18" hidden="false" customHeight="true" outlineLevel="0" collapsed="false">
      <c r="B21" s="32"/>
      <c r="C21" s="32"/>
      <c r="D21" s="32"/>
      <c r="E21" s="32"/>
      <c r="F21" s="32"/>
      <c r="G21" s="32"/>
      <c r="H21" s="32"/>
      <c r="I21" s="38" t="str">
        <f aca="false">IF(COUNTA(C21:H21)=6,C21+D21+E21+F21+G21-H21,"")</f>
        <v/>
      </c>
      <c r="J21" s="22" t="str">
        <f aca="false">IF(I21="","",IF(I21&gt;=18,"✓ Strong Pilot Candidate",IF(I21&gt;=12,"◑ Possible — Review Further","✗ Low Priority")))</f>
        <v/>
      </c>
    </row>
    <row r="22" customFormat="false" ht="18" hidden="false" customHeight="true" outlineLevel="0" collapsed="false">
      <c r="B22" s="32"/>
      <c r="C22" s="32"/>
      <c r="D22" s="32"/>
      <c r="E22" s="32"/>
      <c r="F22" s="32"/>
      <c r="G22" s="32"/>
      <c r="H22" s="32"/>
      <c r="I22" s="38" t="str">
        <f aca="false">IF(COUNTA(C22:H22)=6,C22+D22+E22+F22+G22-H22,"")</f>
        <v/>
      </c>
      <c r="J22" s="22" t="str">
        <f aca="false">IF(I22="","",IF(I22&gt;=18,"✓ Strong Pilot Candidate",IF(I22&gt;=12,"◑ Possible — Review Further","✗ Low Priority")))</f>
        <v/>
      </c>
    </row>
    <row r="23" customFormat="false" ht="18" hidden="false" customHeight="true" outlineLevel="0" collapsed="false">
      <c r="B23" s="32"/>
      <c r="C23" s="32"/>
      <c r="D23" s="32"/>
      <c r="E23" s="32"/>
      <c r="F23" s="32"/>
      <c r="G23" s="32"/>
      <c r="H23" s="32"/>
      <c r="I23" s="38" t="str">
        <f aca="false">IF(COUNTA(C23:H23)=6,C23+D23+E23+F23+G23-H23,"")</f>
        <v/>
      </c>
      <c r="J23" s="22" t="str">
        <f aca="false">IF(I23="","",IF(I23&gt;=18,"✓ Strong Pilot Candidate",IF(I23&gt;=12,"◑ Possible — Review Further","✗ Low Priority")))</f>
        <v/>
      </c>
    </row>
    <row r="24" customFormat="false" ht="18" hidden="false" customHeight="true" outlineLevel="0" collapsed="false">
      <c r="B24" s="32"/>
      <c r="C24" s="32"/>
      <c r="D24" s="32"/>
      <c r="E24" s="32"/>
      <c r="F24" s="32"/>
      <c r="G24" s="32"/>
      <c r="H24" s="32"/>
      <c r="I24" s="38" t="str">
        <f aca="false">IF(COUNTA(C24:H24)=6,C24+D24+E24+F24+G24-H24,"")</f>
        <v/>
      </c>
      <c r="J24" s="22" t="str">
        <f aca="false">IF(I24="","",IF(I24&gt;=18,"✓ Strong Pilot Candidate",IF(I24&gt;=12,"◑ Possible — Review Further","✗ Low Priority")))</f>
        <v/>
      </c>
    </row>
    <row r="25" customFormat="false" ht="18" hidden="false" customHeight="true" outlineLevel="0" collapsed="false">
      <c r="B25" s="32"/>
      <c r="C25" s="32"/>
      <c r="D25" s="32"/>
      <c r="E25" s="32"/>
      <c r="F25" s="32"/>
      <c r="G25" s="32"/>
      <c r="H25" s="32"/>
      <c r="I25" s="38" t="str">
        <f aca="false">IF(COUNTA(C25:H25)=6,C25+D25+E25+F25+G25-H25,"")</f>
        <v/>
      </c>
      <c r="J25" s="22" t="str">
        <f aca="false">IF(I25="","",IF(I25&gt;=18,"✓ Strong Pilot Candidate",IF(I25&gt;=12,"◑ Possible — Review Further","✗ Low Priority")))</f>
        <v/>
      </c>
    </row>
    <row r="26" customFormat="false" ht="18" hidden="false" customHeight="true" outlineLevel="0" collapsed="false">
      <c r="B26" s="32"/>
      <c r="C26" s="32"/>
      <c r="D26" s="32"/>
      <c r="E26" s="32"/>
      <c r="F26" s="32"/>
      <c r="G26" s="32"/>
      <c r="H26" s="32"/>
      <c r="I26" s="38" t="str">
        <f aca="false">IF(COUNTA(C26:H26)=6,C26+D26+E26+F26+G26-H26,"")</f>
        <v/>
      </c>
      <c r="J26" s="22" t="str">
        <f aca="false">IF(I26="","",IF(I26&gt;=18,"✓ Strong Pilot Candidate",IF(I26&gt;=12,"◑ Possible — Review Further","✗ Low Priority")))</f>
        <v/>
      </c>
    </row>
    <row r="28" customFormat="false" ht="19.5" hidden="false" customHeight="true" outlineLevel="0" collapsed="false">
      <c r="B28" s="39" t="s">
        <v>110</v>
      </c>
      <c r="C28" s="39"/>
      <c r="D28" s="39"/>
      <c r="E28" s="39"/>
      <c r="F28" s="39"/>
      <c r="G28" s="39"/>
      <c r="H28" s="39"/>
      <c r="I28" s="39"/>
      <c r="J28" s="39"/>
    </row>
    <row r="29" customFormat="false" ht="19.5" hidden="false" customHeight="true" outlineLevel="0" collapsed="false">
      <c r="B29" s="26" t="s">
        <v>111</v>
      </c>
      <c r="C29" s="32"/>
      <c r="D29" s="32"/>
      <c r="E29" s="32"/>
      <c r="F29" s="32"/>
      <c r="G29" s="32"/>
      <c r="H29" s="40" t="s">
        <v>112</v>
      </c>
      <c r="I29" s="40"/>
      <c r="J29" s="40"/>
    </row>
    <row r="30" customFormat="false" ht="19.5" hidden="false" customHeight="true" outlineLevel="0" collapsed="false">
      <c r="B30" s="26" t="s">
        <v>113</v>
      </c>
      <c r="C30" s="32"/>
      <c r="D30" s="32"/>
      <c r="E30" s="32"/>
      <c r="F30" s="32"/>
      <c r="G30" s="32"/>
      <c r="H30" s="40" t="s">
        <v>112</v>
      </c>
      <c r="I30" s="40"/>
      <c r="J30" s="40"/>
    </row>
    <row r="31" customFormat="false" ht="19.5" hidden="false" customHeight="true" outlineLevel="0" collapsed="false">
      <c r="B31" s="26" t="s">
        <v>114</v>
      </c>
      <c r="C31" s="32"/>
      <c r="D31" s="32"/>
      <c r="E31" s="32"/>
      <c r="F31" s="32"/>
      <c r="G31" s="32"/>
      <c r="H31" s="40" t="s">
        <v>112</v>
      </c>
      <c r="I31" s="40"/>
      <c r="J31" s="40"/>
    </row>
  </sheetData>
  <mergeCells count="11">
    <mergeCell ref="A1:J1"/>
    <mergeCell ref="A2:J2"/>
    <mergeCell ref="A3:J3"/>
    <mergeCell ref="B4:J4"/>
    <mergeCell ref="B28:J28"/>
    <mergeCell ref="C29:G29"/>
    <mergeCell ref="H29:J29"/>
    <mergeCell ref="C30:G30"/>
    <mergeCell ref="H30:J30"/>
    <mergeCell ref="C31:G31"/>
    <mergeCell ref="H31:J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50"/>
    <col collapsed="false" customWidth="true" hidden="false" outlineLevel="0" max="5" min="4" style="0" width="12"/>
    <col collapsed="false" customWidth="true" hidden="false" outlineLevel="0" max="6" min="6" style="0" width="3"/>
    <col collapsed="false" customWidth="true" hidden="false" outlineLevel="0" max="7" min="7" style="0" width="22"/>
    <col collapsed="false" customWidth="true" hidden="false" outlineLevel="0" max="8" min="8" style="0" width="50"/>
  </cols>
  <sheetData>
    <row r="1" customFormat="false" ht="30" hidden="false" customHeight="true" outlineLevel="0" collapsed="false">
      <c r="A1" s="11" t="s">
        <v>115</v>
      </c>
      <c r="B1" s="11"/>
      <c r="C1" s="11"/>
      <c r="D1" s="11"/>
      <c r="E1" s="11"/>
      <c r="F1" s="11"/>
      <c r="G1" s="11"/>
      <c r="H1" s="11"/>
    </row>
    <row r="2" customFormat="false" ht="21.75" hidden="false" customHeight="true" outlineLevel="0" collapsed="false">
      <c r="A2" s="2" t="s">
        <v>116</v>
      </c>
      <c r="B2" s="2"/>
      <c r="C2" s="2"/>
      <c r="D2" s="2"/>
      <c r="E2" s="2"/>
      <c r="F2" s="2"/>
      <c r="G2" s="2"/>
      <c r="H2" s="2"/>
    </row>
    <row r="3" customFormat="false" ht="27.75" hidden="false" customHeight="true" outlineLevel="0" collapsed="false">
      <c r="A3" s="12" t="s">
        <v>117</v>
      </c>
      <c r="B3" s="12"/>
      <c r="C3" s="12"/>
      <c r="D3" s="12"/>
      <c r="E3" s="12"/>
      <c r="F3" s="12"/>
      <c r="G3" s="12"/>
      <c r="H3" s="12"/>
    </row>
    <row r="4" customFormat="false" ht="15.75" hidden="false" customHeight="true" outlineLevel="0" collapsed="false">
      <c r="B4" s="33" t="s">
        <v>118</v>
      </c>
      <c r="G4" s="41" t="s">
        <v>119</v>
      </c>
    </row>
    <row r="5" customFormat="false" ht="15" hidden="false" customHeight="true" outlineLevel="0" collapsed="false">
      <c r="B5" s="42" t="s">
        <v>120</v>
      </c>
      <c r="C5" s="42"/>
      <c r="D5" s="42"/>
      <c r="G5" s="42" t="s">
        <v>121</v>
      </c>
      <c r="H5" s="42"/>
    </row>
    <row r="6" customFormat="false" ht="18" hidden="false" customHeight="true" outlineLevel="0" collapsed="false">
      <c r="B6" s="43"/>
      <c r="C6" s="43"/>
      <c r="D6" s="43"/>
      <c r="G6" s="43"/>
      <c r="H6" s="43"/>
    </row>
    <row r="7" customFormat="false" ht="18" hidden="false" customHeight="true" outlineLevel="0" collapsed="false">
      <c r="B7" s="43"/>
      <c r="C7" s="43"/>
      <c r="D7" s="43"/>
      <c r="G7" s="43"/>
      <c r="H7" s="43"/>
    </row>
    <row r="8" customFormat="false" ht="7.5" hidden="false" customHeight="true" outlineLevel="0" collapsed="false"/>
    <row r="9" customFormat="false" ht="15.75" hidden="false" customHeight="true" outlineLevel="0" collapsed="false">
      <c r="B9" s="33" t="s">
        <v>122</v>
      </c>
      <c r="G9" s="41" t="s">
        <v>123</v>
      </c>
    </row>
    <row r="10" customFormat="false" ht="15" hidden="false" customHeight="true" outlineLevel="0" collapsed="false">
      <c r="B10" s="42" t="s">
        <v>124</v>
      </c>
      <c r="C10" s="42"/>
      <c r="D10" s="42"/>
      <c r="G10" s="42" t="s">
        <v>125</v>
      </c>
      <c r="H10" s="42"/>
    </row>
    <row r="11" customFormat="false" ht="18" hidden="false" customHeight="true" outlineLevel="0" collapsed="false">
      <c r="B11" s="43"/>
      <c r="C11" s="43"/>
      <c r="D11" s="43"/>
      <c r="G11" s="43"/>
      <c r="H11" s="43"/>
    </row>
    <row r="12" customFormat="false" ht="18" hidden="false" customHeight="true" outlineLevel="0" collapsed="false">
      <c r="B12" s="43"/>
      <c r="C12" s="43"/>
      <c r="D12" s="43"/>
      <c r="G12" s="43"/>
      <c r="H12" s="43"/>
    </row>
    <row r="13" customFormat="false" ht="7.5" hidden="false" customHeight="true" outlineLevel="0" collapsed="false"/>
    <row r="14" customFormat="false" ht="15.75" hidden="false" customHeight="true" outlineLevel="0" collapsed="false">
      <c r="B14" s="33" t="s">
        <v>126</v>
      </c>
      <c r="G14" s="41" t="s">
        <v>127</v>
      </c>
    </row>
    <row r="15" customFormat="false" ht="15" hidden="false" customHeight="true" outlineLevel="0" collapsed="false">
      <c r="B15" s="42" t="s">
        <v>128</v>
      </c>
      <c r="C15" s="42"/>
      <c r="D15" s="42"/>
      <c r="G15" s="42" t="s">
        <v>129</v>
      </c>
      <c r="H15" s="42"/>
    </row>
    <row r="16" customFormat="false" ht="18" hidden="false" customHeight="true" outlineLevel="0" collapsed="false">
      <c r="B16" s="43"/>
      <c r="C16" s="43"/>
      <c r="D16" s="43"/>
      <c r="G16" s="43"/>
      <c r="H16" s="43"/>
    </row>
    <row r="17" customFormat="false" ht="18" hidden="false" customHeight="true" outlineLevel="0" collapsed="false">
      <c r="B17" s="43"/>
      <c r="C17" s="43"/>
      <c r="D17" s="43"/>
      <c r="G17" s="43"/>
      <c r="H17" s="43"/>
    </row>
    <row r="18" customFormat="false" ht="7.5" hidden="false" customHeight="true" outlineLevel="0" collapsed="false"/>
    <row r="19" customFormat="false" ht="15.75" hidden="false" customHeight="true" outlineLevel="0" collapsed="false">
      <c r="B19" s="33" t="s">
        <v>130</v>
      </c>
      <c r="G19" s="41" t="s">
        <v>131</v>
      </c>
    </row>
    <row r="20" customFormat="false" ht="15" hidden="false" customHeight="true" outlineLevel="0" collapsed="false">
      <c r="B20" s="42" t="s">
        <v>132</v>
      </c>
      <c r="C20" s="42"/>
      <c r="D20" s="42"/>
      <c r="G20" s="42" t="s">
        <v>133</v>
      </c>
      <c r="H20" s="42"/>
    </row>
    <row r="21" customFormat="false" ht="18" hidden="false" customHeight="true" outlineLevel="0" collapsed="false">
      <c r="B21" s="43"/>
      <c r="C21" s="43"/>
      <c r="D21" s="43"/>
      <c r="G21" s="43"/>
      <c r="H21" s="43"/>
    </row>
    <row r="22" customFormat="false" ht="18" hidden="false" customHeight="true" outlineLevel="0" collapsed="false">
      <c r="B22" s="43"/>
      <c r="C22" s="43"/>
      <c r="D22" s="43"/>
      <c r="G22" s="43"/>
      <c r="H22" s="43"/>
    </row>
    <row r="23" customFormat="false" ht="7.5" hidden="false" customHeight="true" outlineLevel="0" collapsed="false"/>
    <row r="24" customFormat="false" ht="15.75" hidden="false" customHeight="true" outlineLevel="0" collapsed="false">
      <c r="B24" s="33" t="s">
        <v>134</v>
      </c>
      <c r="G24" s="41" t="s">
        <v>135</v>
      </c>
    </row>
    <row r="25" customFormat="false" ht="15" hidden="false" customHeight="true" outlineLevel="0" collapsed="false">
      <c r="B25" s="42" t="s">
        <v>136</v>
      </c>
      <c r="C25" s="42"/>
      <c r="D25" s="42"/>
      <c r="G25" s="42" t="s">
        <v>137</v>
      </c>
      <c r="H25" s="42"/>
    </row>
    <row r="26" customFormat="false" ht="18" hidden="false" customHeight="true" outlineLevel="0" collapsed="false">
      <c r="B26" s="43"/>
      <c r="C26" s="43"/>
      <c r="D26" s="43"/>
      <c r="G26" s="43"/>
      <c r="H26" s="43"/>
    </row>
    <row r="27" customFormat="false" ht="18" hidden="false" customHeight="true" outlineLevel="0" collapsed="false">
      <c r="B27" s="43"/>
      <c r="C27" s="43"/>
      <c r="D27" s="43"/>
      <c r="G27" s="43"/>
      <c r="H27" s="43"/>
    </row>
    <row r="28" customFormat="false" ht="7.5" hidden="false" customHeight="true" outlineLevel="0" collapsed="false"/>
    <row r="29" customFormat="false" ht="15.75" hidden="false" customHeight="true" outlineLevel="0" collapsed="false">
      <c r="B29" s="33" t="s">
        <v>138</v>
      </c>
      <c r="G29" s="41" t="s">
        <v>139</v>
      </c>
    </row>
    <row r="30" customFormat="false" ht="15" hidden="false" customHeight="true" outlineLevel="0" collapsed="false">
      <c r="B30" s="42" t="s">
        <v>140</v>
      </c>
      <c r="C30" s="42"/>
      <c r="D30" s="42"/>
      <c r="G30" s="42" t="s">
        <v>141</v>
      </c>
      <c r="H30" s="42"/>
    </row>
    <row r="31" customFormat="false" ht="18" hidden="false" customHeight="true" outlineLevel="0" collapsed="false">
      <c r="B31" s="43"/>
      <c r="C31" s="43"/>
      <c r="D31" s="43"/>
      <c r="G31" s="43"/>
      <c r="H31" s="43"/>
    </row>
    <row r="32" customFormat="false" ht="18" hidden="false" customHeight="true" outlineLevel="0" collapsed="false">
      <c r="B32" s="43"/>
      <c r="C32" s="43"/>
      <c r="D32" s="43"/>
      <c r="G32" s="43"/>
      <c r="H32" s="43"/>
    </row>
    <row r="33" customFormat="false" ht="7.5" hidden="false" customHeight="true" outlineLevel="0" collapsed="false"/>
    <row r="34" customFormat="false" ht="15.75" hidden="false" customHeight="true" outlineLevel="0" collapsed="false">
      <c r="B34" s="33" t="s">
        <v>142</v>
      </c>
      <c r="G34" s="41" t="s">
        <v>143</v>
      </c>
    </row>
    <row r="35" customFormat="false" ht="15" hidden="false" customHeight="true" outlineLevel="0" collapsed="false">
      <c r="B35" s="42" t="s">
        <v>144</v>
      </c>
      <c r="C35" s="42"/>
      <c r="D35" s="42"/>
      <c r="G35" s="42" t="s">
        <v>145</v>
      </c>
      <c r="H35" s="42"/>
    </row>
    <row r="36" customFormat="false" ht="18" hidden="false" customHeight="true" outlineLevel="0" collapsed="false">
      <c r="B36" s="43"/>
      <c r="C36" s="43"/>
      <c r="D36" s="43"/>
      <c r="G36" s="43"/>
      <c r="H36" s="43"/>
    </row>
    <row r="37" customFormat="false" ht="18" hidden="false" customHeight="true" outlineLevel="0" collapsed="false">
      <c r="B37" s="43"/>
      <c r="C37" s="43"/>
      <c r="D37" s="43"/>
      <c r="G37" s="43"/>
      <c r="H37" s="43"/>
    </row>
    <row r="38" customFormat="false" ht="7.5" hidden="false" customHeight="true" outlineLevel="0" collapsed="false"/>
    <row r="39" customFormat="false" ht="15.75" hidden="false" customHeight="true" outlineLevel="0" collapsed="false">
      <c r="B39" s="33" t="s">
        <v>146</v>
      </c>
      <c r="G39" s="41" t="s">
        <v>147</v>
      </c>
    </row>
    <row r="40" customFormat="false" ht="15" hidden="false" customHeight="true" outlineLevel="0" collapsed="false">
      <c r="B40" s="42" t="s">
        <v>148</v>
      </c>
      <c r="C40" s="42"/>
      <c r="D40" s="42"/>
      <c r="G40" s="42" t="s">
        <v>149</v>
      </c>
      <c r="H40" s="42"/>
    </row>
    <row r="41" customFormat="false" ht="18" hidden="false" customHeight="true" outlineLevel="0" collapsed="false">
      <c r="B41" s="43"/>
      <c r="C41" s="43"/>
      <c r="D41" s="43"/>
      <c r="G41" s="43"/>
      <c r="H41" s="43"/>
    </row>
    <row r="42" customFormat="false" ht="18" hidden="false" customHeight="true" outlineLevel="0" collapsed="false">
      <c r="B42" s="43"/>
      <c r="C42" s="43"/>
      <c r="D42" s="43"/>
      <c r="G42" s="43"/>
      <c r="H42" s="43"/>
    </row>
    <row r="43" customFormat="false" ht="7.5" hidden="false" customHeight="true" outlineLevel="0" collapsed="false"/>
    <row r="44" customFormat="false" ht="15.75" hidden="false" customHeight="true" outlineLevel="0" collapsed="false">
      <c r="B44" s="33" t="s">
        <v>150</v>
      </c>
      <c r="G44" s="41" t="s">
        <v>151</v>
      </c>
    </row>
    <row r="45" customFormat="false" ht="15" hidden="false" customHeight="true" outlineLevel="0" collapsed="false">
      <c r="B45" s="42" t="s">
        <v>152</v>
      </c>
      <c r="C45" s="42"/>
      <c r="D45" s="42"/>
      <c r="G45" s="42" t="s">
        <v>153</v>
      </c>
      <c r="H45" s="42"/>
    </row>
    <row r="46" customFormat="false" ht="18" hidden="false" customHeight="true" outlineLevel="0" collapsed="false">
      <c r="B46" s="43"/>
      <c r="C46" s="43"/>
      <c r="D46" s="43"/>
      <c r="G46" s="43"/>
      <c r="H46" s="43"/>
    </row>
    <row r="47" customFormat="false" ht="18" hidden="false" customHeight="true" outlineLevel="0" collapsed="false">
      <c r="B47" s="43"/>
      <c r="C47" s="43"/>
      <c r="D47" s="43"/>
      <c r="G47" s="43"/>
      <c r="H47" s="43"/>
    </row>
    <row r="48" customFormat="false" ht="7.5" hidden="false" customHeight="true" outlineLevel="0" collapsed="false"/>
    <row r="49" customFormat="false" ht="15.75" hidden="false" customHeight="true" outlineLevel="0" collapsed="false">
      <c r="B49" s="33" t="s">
        <v>154</v>
      </c>
      <c r="G49" s="41" t="s">
        <v>155</v>
      </c>
    </row>
    <row r="50" customFormat="false" ht="15" hidden="false" customHeight="true" outlineLevel="0" collapsed="false">
      <c r="B50" s="42" t="s">
        <v>156</v>
      </c>
      <c r="C50" s="42"/>
      <c r="D50" s="42"/>
      <c r="G50" s="42" t="s">
        <v>157</v>
      </c>
      <c r="H50" s="42"/>
    </row>
    <row r="51" customFormat="false" ht="18" hidden="false" customHeight="true" outlineLevel="0" collapsed="false">
      <c r="B51" s="43"/>
      <c r="C51" s="43"/>
      <c r="D51" s="43"/>
      <c r="G51" s="43"/>
      <c r="H51" s="43"/>
    </row>
    <row r="52" customFormat="false" ht="18" hidden="false" customHeight="true" outlineLevel="0" collapsed="false">
      <c r="B52" s="43"/>
      <c r="C52" s="43"/>
      <c r="D52" s="43"/>
      <c r="G52" s="43"/>
      <c r="H52" s="43"/>
    </row>
    <row r="53" customFormat="false" ht="7.5" hidden="false" customHeight="true" outlineLevel="0" collapsed="false"/>
  </sheetData>
  <mergeCells count="43">
    <mergeCell ref="A1:H1"/>
    <mergeCell ref="A2:H2"/>
    <mergeCell ref="A3:H3"/>
    <mergeCell ref="B5:D5"/>
    <mergeCell ref="G5:H5"/>
    <mergeCell ref="B6:D7"/>
    <mergeCell ref="G6:H7"/>
    <mergeCell ref="B10:D10"/>
    <mergeCell ref="G10:H10"/>
    <mergeCell ref="B11:D12"/>
    <mergeCell ref="G11:H12"/>
    <mergeCell ref="B15:D15"/>
    <mergeCell ref="G15:H15"/>
    <mergeCell ref="B16:D17"/>
    <mergeCell ref="G16:H17"/>
    <mergeCell ref="B20:D20"/>
    <mergeCell ref="G20:H20"/>
    <mergeCell ref="B21:D22"/>
    <mergeCell ref="G21:H22"/>
    <mergeCell ref="B25:D25"/>
    <mergeCell ref="G25:H25"/>
    <mergeCell ref="B26:D27"/>
    <mergeCell ref="G26:H27"/>
    <mergeCell ref="B30:D30"/>
    <mergeCell ref="G30:H30"/>
    <mergeCell ref="B31:D32"/>
    <mergeCell ref="G31:H32"/>
    <mergeCell ref="B35:D35"/>
    <mergeCell ref="G35:H35"/>
    <mergeCell ref="B36:D37"/>
    <mergeCell ref="G36:H37"/>
    <mergeCell ref="B40:D40"/>
    <mergeCell ref="G40:H40"/>
    <mergeCell ref="B41:D42"/>
    <mergeCell ref="G41:H42"/>
    <mergeCell ref="B45:D45"/>
    <mergeCell ref="G45:H45"/>
    <mergeCell ref="B46:D47"/>
    <mergeCell ref="G46:H47"/>
    <mergeCell ref="B50:D50"/>
    <mergeCell ref="G50:H50"/>
    <mergeCell ref="B51:D52"/>
    <mergeCell ref="G51:H5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2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9" min="9" style="0" width="18"/>
  </cols>
  <sheetData>
    <row r="1" customFormat="false" ht="30" hidden="false" customHeight="true" outlineLevel="0" collapsed="false">
      <c r="A1" s="11" t="s">
        <v>158</v>
      </c>
      <c r="B1" s="11"/>
      <c r="C1" s="11"/>
      <c r="D1" s="11"/>
      <c r="E1" s="11"/>
      <c r="F1" s="11"/>
      <c r="G1" s="11"/>
      <c r="H1" s="11"/>
      <c r="I1" s="11"/>
    </row>
    <row r="2" customFormat="false" ht="21.75" hidden="false" customHeight="true" outlineLevel="0" collapsed="false">
      <c r="A2" s="2" t="s">
        <v>159</v>
      </c>
      <c r="B2" s="2"/>
      <c r="C2" s="2"/>
      <c r="D2" s="2"/>
      <c r="E2" s="2"/>
      <c r="F2" s="2"/>
      <c r="G2" s="2"/>
      <c r="H2" s="2"/>
      <c r="I2" s="2"/>
    </row>
    <row r="3" customFormat="false" ht="27.75" hidden="false" customHeight="true" outlineLevel="0" collapsed="false">
      <c r="A3" s="12" t="s">
        <v>160</v>
      </c>
      <c r="B3" s="12"/>
      <c r="C3" s="12"/>
      <c r="D3" s="12"/>
      <c r="E3" s="12"/>
      <c r="F3" s="12"/>
      <c r="G3" s="12"/>
      <c r="H3" s="12"/>
      <c r="I3" s="12"/>
    </row>
    <row r="4" customFormat="false" ht="36" hidden="false" customHeight="true" outlineLevel="0" collapsed="false">
      <c r="B4" s="5" t="s">
        <v>161</v>
      </c>
      <c r="C4" s="5" t="s">
        <v>162</v>
      </c>
      <c r="D4" s="5" t="s">
        <v>163</v>
      </c>
      <c r="E4" s="5" t="s">
        <v>164</v>
      </c>
      <c r="F4" s="5" t="s">
        <v>165</v>
      </c>
      <c r="G4" s="5" t="s">
        <v>166</v>
      </c>
      <c r="H4" s="5" t="s">
        <v>167</v>
      </c>
      <c r="I4" s="5" t="s">
        <v>168</v>
      </c>
    </row>
    <row r="5" customFormat="false" ht="13.5" hidden="false" customHeight="true" outlineLevel="0" collapsed="false">
      <c r="B5" s="36" t="s">
        <v>169</v>
      </c>
      <c r="C5" s="36"/>
      <c r="D5" s="36"/>
      <c r="E5" s="36"/>
      <c r="F5" s="36"/>
      <c r="G5" s="36"/>
      <c r="H5" s="36"/>
      <c r="I5" s="36"/>
      <c r="J5" s="36"/>
    </row>
    <row r="6" customFormat="false" ht="19.5" hidden="false" customHeight="true" outlineLevel="0" collapsed="false">
      <c r="B6" s="32"/>
      <c r="C6" s="32"/>
      <c r="D6" s="32"/>
      <c r="E6" s="32"/>
      <c r="F6" s="32"/>
      <c r="G6" s="32"/>
      <c r="H6" s="32"/>
      <c r="I6" s="44" t="str">
        <f aca="false">IF(COUNTA(B6:H6)&lt;7,"⚠ Incomplete",IF(AND(F6="H",H6=""),"✗ High Risk — Add Oversight Plan","✓ APPROVED"))</f>
        <v>⚠ Incomplete</v>
      </c>
    </row>
    <row r="7" customFormat="false" ht="19.5" hidden="false" customHeight="true" outlineLevel="0" collapsed="false">
      <c r="B7" s="6"/>
      <c r="C7" s="6"/>
      <c r="D7" s="6"/>
      <c r="E7" s="6"/>
      <c r="F7" s="6"/>
      <c r="G7" s="6"/>
      <c r="H7" s="6"/>
      <c r="I7" s="44" t="str">
        <f aca="false">IF(COUNTA(B7:H7)&lt;7,"⚠ Incomplete",IF(AND(F7="H",H7=""),"✗ High Risk — Add Oversight Plan","✓ APPROVED"))</f>
        <v>⚠ Incomplete</v>
      </c>
    </row>
    <row r="8" customFormat="false" ht="19.5" hidden="false" customHeight="true" outlineLevel="0" collapsed="false">
      <c r="B8" s="32"/>
      <c r="C8" s="32"/>
      <c r="D8" s="32"/>
      <c r="E8" s="32"/>
      <c r="F8" s="32"/>
      <c r="G8" s="32"/>
      <c r="H8" s="32"/>
      <c r="I8" s="44" t="str">
        <f aca="false">IF(COUNTA(B8:H8)&lt;7,"⚠ Incomplete",IF(AND(F8="H",H8=""),"✗ High Risk — Add Oversight Plan","✓ APPROVED"))</f>
        <v>⚠ Incomplete</v>
      </c>
    </row>
    <row r="9" customFormat="false" ht="19.5" hidden="false" customHeight="true" outlineLevel="0" collapsed="false">
      <c r="B9" s="6"/>
      <c r="C9" s="6"/>
      <c r="D9" s="6"/>
      <c r="E9" s="6"/>
      <c r="F9" s="6"/>
      <c r="G9" s="6"/>
      <c r="H9" s="6"/>
      <c r="I9" s="44" t="str">
        <f aca="false">IF(COUNTA(B9:H9)&lt;7,"⚠ Incomplete",IF(AND(F9="H",H9=""),"✗ High Risk — Add Oversight Plan","✓ APPROVED"))</f>
        <v>⚠ Incomplete</v>
      </c>
    </row>
    <row r="10" customFormat="false" ht="19.5" hidden="false" customHeight="true" outlineLevel="0" collapsed="false">
      <c r="B10" s="32"/>
      <c r="C10" s="32"/>
      <c r="D10" s="32"/>
      <c r="E10" s="32"/>
      <c r="F10" s="32"/>
      <c r="G10" s="32"/>
      <c r="H10" s="32"/>
      <c r="I10" s="44" t="str">
        <f aca="false">IF(COUNTA(B10:H10)&lt;7,"⚠ Incomplete",IF(AND(F10="H",H10=""),"✗ High Risk — Add Oversight Plan","✓ APPROVED"))</f>
        <v>⚠ Incomplete</v>
      </c>
    </row>
    <row r="11" customFormat="false" ht="19.5" hidden="false" customHeight="true" outlineLevel="0" collapsed="false">
      <c r="B11" s="6"/>
      <c r="C11" s="6"/>
      <c r="D11" s="6"/>
      <c r="E11" s="6"/>
      <c r="F11" s="6"/>
      <c r="G11" s="6"/>
      <c r="H11" s="6"/>
      <c r="I11" s="44" t="str">
        <f aca="false">IF(COUNTA(B11:H11)&lt;7,"⚠ Incomplete",IF(AND(F11="H",H11=""),"✗ High Risk — Add Oversight Plan","✓ APPROVED"))</f>
        <v>⚠ Incomplete</v>
      </c>
    </row>
    <row r="12" customFormat="false" ht="19.5" hidden="false" customHeight="true" outlineLevel="0" collapsed="false">
      <c r="B12" s="32"/>
      <c r="C12" s="32"/>
      <c r="D12" s="32"/>
      <c r="E12" s="32"/>
      <c r="F12" s="32"/>
      <c r="G12" s="32"/>
      <c r="H12" s="32"/>
      <c r="I12" s="44" t="str">
        <f aca="false">IF(COUNTA(B12:H12)&lt;7,"⚠ Incomplete",IF(AND(F12="H",H12=""),"✗ High Risk — Add Oversight Plan","✓ APPROVED"))</f>
        <v>⚠ Incomplete</v>
      </c>
    </row>
    <row r="13" customFormat="false" ht="19.5" hidden="false" customHeight="true" outlineLevel="0" collapsed="false">
      <c r="B13" s="6"/>
      <c r="C13" s="6"/>
      <c r="D13" s="6"/>
      <c r="E13" s="6"/>
      <c r="F13" s="6"/>
      <c r="G13" s="6"/>
      <c r="H13" s="6"/>
      <c r="I13" s="44" t="str">
        <f aca="false">IF(COUNTA(B13:H13)&lt;7,"⚠ Incomplete",IF(AND(F13="H",H13=""),"✗ High Risk — Add Oversight Plan","✓ APPROVED"))</f>
        <v>⚠ Incomplete</v>
      </c>
    </row>
    <row r="14" customFormat="false" ht="19.5" hidden="false" customHeight="true" outlineLevel="0" collapsed="false">
      <c r="B14" s="32"/>
      <c r="C14" s="32"/>
      <c r="D14" s="32"/>
      <c r="E14" s="32"/>
      <c r="F14" s="32"/>
      <c r="G14" s="32"/>
      <c r="H14" s="32"/>
      <c r="I14" s="44" t="str">
        <f aca="false">IF(COUNTA(B14:H14)&lt;7,"⚠ Incomplete",IF(AND(F14="H",H14=""),"✗ High Risk — Add Oversight Plan","✓ APPROVED"))</f>
        <v>⚠ Incomplete</v>
      </c>
    </row>
    <row r="15" customFormat="false" ht="19.5" hidden="false" customHeight="true" outlineLevel="0" collapsed="false">
      <c r="B15" s="6"/>
      <c r="C15" s="6"/>
      <c r="D15" s="6"/>
      <c r="E15" s="6"/>
      <c r="F15" s="6"/>
      <c r="G15" s="6"/>
      <c r="H15" s="6"/>
      <c r="I15" s="44" t="str">
        <f aca="false">IF(COUNTA(B15:H15)&lt;7,"⚠ Incomplete",IF(AND(F15="H",H15=""),"✗ High Risk — Add Oversight Plan","✓ APPROVED"))</f>
        <v>⚠ Incomplete</v>
      </c>
    </row>
    <row r="16" customFormat="false" ht="19.5" hidden="false" customHeight="true" outlineLevel="0" collapsed="false">
      <c r="B16" s="32"/>
      <c r="C16" s="32"/>
      <c r="D16" s="32"/>
      <c r="E16" s="32"/>
      <c r="F16" s="32"/>
      <c r="G16" s="32"/>
      <c r="H16" s="32"/>
      <c r="I16" s="44" t="str">
        <f aca="false">IF(COUNTA(B16:H16)&lt;7,"⚠ Incomplete",IF(AND(F16="H",H16=""),"✗ High Risk — Add Oversight Plan","✓ APPROVED"))</f>
        <v>⚠ Incomplete</v>
      </c>
    </row>
    <row r="17" customFormat="false" ht="19.5" hidden="false" customHeight="true" outlineLevel="0" collapsed="false">
      <c r="B17" s="6"/>
      <c r="C17" s="6"/>
      <c r="D17" s="6"/>
      <c r="E17" s="6"/>
      <c r="F17" s="6"/>
      <c r="G17" s="6"/>
      <c r="H17" s="6"/>
      <c r="I17" s="44" t="str">
        <f aca="false">IF(COUNTA(B17:H17)&lt;7,"⚠ Incomplete",IF(AND(F17="H",H17=""),"✗ High Risk — Add Oversight Plan","✓ APPROVED"))</f>
        <v>⚠ Incomplete</v>
      </c>
    </row>
    <row r="18" customFormat="false" ht="19.5" hidden="false" customHeight="true" outlineLevel="0" collapsed="false">
      <c r="B18" s="32"/>
      <c r="C18" s="32"/>
      <c r="D18" s="32"/>
      <c r="E18" s="32"/>
      <c r="F18" s="32"/>
      <c r="G18" s="32"/>
      <c r="H18" s="32"/>
      <c r="I18" s="44" t="str">
        <f aca="false">IF(COUNTA(B18:H18)&lt;7,"⚠ Incomplete",IF(AND(F18="H",H18=""),"✗ High Risk — Add Oversight Plan","✓ APPROVED"))</f>
        <v>⚠ Incomplete</v>
      </c>
    </row>
    <row r="19" customFormat="false" ht="19.5" hidden="false" customHeight="true" outlineLevel="0" collapsed="false">
      <c r="B19" s="6"/>
      <c r="C19" s="6"/>
      <c r="D19" s="6"/>
      <c r="E19" s="6"/>
      <c r="F19" s="6"/>
      <c r="G19" s="6"/>
      <c r="H19" s="6"/>
      <c r="I19" s="44" t="str">
        <f aca="false">IF(COUNTA(B19:H19)&lt;7,"⚠ Incomplete",IF(AND(F19="H",H19=""),"✗ High Risk — Add Oversight Plan","✓ APPROVED"))</f>
        <v>⚠ Incomplete</v>
      </c>
    </row>
    <row r="20" customFormat="false" ht="19.5" hidden="false" customHeight="true" outlineLevel="0" collapsed="false">
      <c r="B20" s="32"/>
      <c r="C20" s="32"/>
      <c r="D20" s="32"/>
      <c r="E20" s="32"/>
      <c r="F20" s="32"/>
      <c r="G20" s="32"/>
      <c r="H20" s="32"/>
      <c r="I20" s="44" t="str">
        <f aca="false">IF(COUNTA(B20:H20)&lt;7,"⚠ Incomplete",IF(AND(F20="H",H20=""),"✗ High Risk — Add Oversight Plan","✓ APPROVED"))</f>
        <v>⚠ Incomplete</v>
      </c>
    </row>
    <row r="22" customFormat="false" ht="19.5" hidden="false" customHeight="true" outlineLevel="0" collapsed="false">
      <c r="B22" s="45" t="s">
        <v>170</v>
      </c>
      <c r="C22" s="45"/>
      <c r="D22" s="45"/>
      <c r="E22" s="45"/>
      <c r="F22" s="45"/>
      <c r="G22" s="45"/>
      <c r="H22" s="45"/>
      <c r="I22" s="46" t="n">
        <f aca="false">COUNTIF(I6:I20,"✓ APPROVED")</f>
        <v>0</v>
      </c>
    </row>
  </sheetData>
  <mergeCells count="5">
    <mergeCell ref="A1:I1"/>
    <mergeCell ref="A2:I2"/>
    <mergeCell ref="A3:I3"/>
    <mergeCell ref="B5:J5"/>
    <mergeCell ref="B22:H22"/>
  </mergeCells>
  <dataValidations count="2">
    <dataValidation allowBlank="true" errorStyle="stop" operator="between" showDropDown="false" showErrorMessage="false" showInputMessage="false" sqref="D6:D20" type="list">
      <formula1>"L,I,F,T"</formula1>
      <formula2>0</formula2>
    </dataValidation>
    <dataValidation allowBlank="true" errorStyle="stop" operator="between" showDropDown="false" showErrorMessage="false" showInputMessage="false" sqref="F6:F20" type="list">
      <formula1>"L,M,H"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2"/>
    <col collapsed="false" customWidth="true" hidden="false" outlineLevel="0" max="5" min="4" style="0" width="16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1" t="s">
        <v>171</v>
      </c>
      <c r="B1" s="11"/>
      <c r="C1" s="11"/>
      <c r="D1" s="11"/>
      <c r="E1" s="11"/>
      <c r="F1" s="11"/>
      <c r="G1" s="11"/>
    </row>
    <row r="2" customFormat="false" ht="21.75" hidden="false" customHeight="true" outlineLevel="0" collapsed="false">
      <c r="A2" s="2" t="s">
        <v>172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12" t="s">
        <v>173</v>
      </c>
      <c r="B3" s="12"/>
      <c r="C3" s="12"/>
      <c r="D3" s="12"/>
      <c r="E3" s="12"/>
      <c r="F3" s="12"/>
      <c r="G3" s="12"/>
    </row>
    <row r="4" customFormat="false" ht="18" hidden="false" customHeight="true" outlineLevel="0" collapsed="false">
      <c r="B4" s="5" t="s">
        <v>174</v>
      </c>
      <c r="C4" s="5" t="s">
        <v>175</v>
      </c>
      <c r="D4" s="5" t="s">
        <v>10</v>
      </c>
      <c r="E4" s="5" t="s">
        <v>176</v>
      </c>
      <c r="F4" s="5" t="s">
        <v>177</v>
      </c>
      <c r="G4" s="5" t="s">
        <v>178</v>
      </c>
    </row>
    <row r="5" customFormat="false" ht="18" hidden="false" customHeight="true" outlineLevel="0" collapsed="false">
      <c r="B5" s="47" t="s">
        <v>179</v>
      </c>
      <c r="C5" s="47"/>
      <c r="D5" s="47"/>
      <c r="E5" s="47"/>
      <c r="F5" s="47"/>
      <c r="G5" s="47"/>
    </row>
    <row r="6" customFormat="false" ht="19.5" hidden="false" customHeight="true" outlineLevel="0" collapsed="false">
      <c r="B6" s="15" t="n">
        <v>1</v>
      </c>
      <c r="C6" s="6" t="s">
        <v>180</v>
      </c>
      <c r="D6" s="48" t="s">
        <v>181</v>
      </c>
      <c r="E6" s="32"/>
      <c r="F6" s="32"/>
      <c r="G6" s="32"/>
    </row>
    <row r="7" customFormat="false" ht="19.5" hidden="false" customHeight="true" outlineLevel="0" collapsed="false">
      <c r="B7" s="15" t="n">
        <v>2</v>
      </c>
      <c r="C7" s="7" t="s">
        <v>182</v>
      </c>
      <c r="D7" s="48" t="s">
        <v>181</v>
      </c>
      <c r="E7" s="32"/>
      <c r="F7" s="32"/>
      <c r="G7" s="32"/>
    </row>
    <row r="8" customFormat="false" ht="19.5" hidden="false" customHeight="true" outlineLevel="0" collapsed="false">
      <c r="B8" s="15" t="n">
        <v>3</v>
      </c>
      <c r="C8" s="6" t="s">
        <v>183</v>
      </c>
      <c r="D8" s="48" t="s">
        <v>181</v>
      </c>
      <c r="E8" s="32"/>
      <c r="F8" s="32"/>
      <c r="G8" s="32"/>
    </row>
    <row r="9" customFormat="false" ht="19.5" hidden="false" customHeight="true" outlineLevel="0" collapsed="false">
      <c r="B9" s="15" t="n">
        <v>4</v>
      </c>
      <c r="C9" s="7" t="s">
        <v>184</v>
      </c>
      <c r="D9" s="48" t="s">
        <v>181</v>
      </c>
      <c r="E9" s="32"/>
      <c r="F9" s="32"/>
      <c r="G9" s="32"/>
    </row>
    <row r="10" customFormat="false" ht="6" hidden="false" customHeight="true" outlineLevel="0" collapsed="false"/>
    <row r="11" customFormat="false" ht="18" hidden="false" customHeight="true" outlineLevel="0" collapsed="false">
      <c r="B11" s="47" t="s">
        <v>185</v>
      </c>
      <c r="C11" s="47"/>
      <c r="D11" s="47"/>
      <c r="E11" s="47"/>
      <c r="F11" s="47"/>
      <c r="G11" s="47"/>
    </row>
    <row r="12" customFormat="false" ht="19.5" hidden="false" customHeight="true" outlineLevel="0" collapsed="false">
      <c r="B12" s="15" t="n">
        <v>5</v>
      </c>
      <c r="C12" s="6" t="s">
        <v>186</v>
      </c>
      <c r="D12" s="48" t="s">
        <v>181</v>
      </c>
      <c r="E12" s="32"/>
      <c r="F12" s="32"/>
      <c r="G12" s="32"/>
    </row>
    <row r="13" customFormat="false" ht="19.5" hidden="false" customHeight="true" outlineLevel="0" collapsed="false">
      <c r="B13" s="15" t="n">
        <v>6</v>
      </c>
      <c r="C13" s="7" t="s">
        <v>187</v>
      </c>
      <c r="D13" s="48" t="s">
        <v>181</v>
      </c>
      <c r="E13" s="32"/>
      <c r="F13" s="32"/>
      <c r="G13" s="32"/>
    </row>
    <row r="14" customFormat="false" ht="19.5" hidden="false" customHeight="true" outlineLevel="0" collapsed="false">
      <c r="B14" s="15" t="n">
        <v>7</v>
      </c>
      <c r="C14" s="6" t="s">
        <v>188</v>
      </c>
      <c r="D14" s="48" t="s">
        <v>181</v>
      </c>
      <c r="E14" s="32"/>
      <c r="F14" s="32"/>
      <c r="G14" s="32"/>
    </row>
    <row r="15" customFormat="false" ht="19.5" hidden="false" customHeight="true" outlineLevel="0" collapsed="false">
      <c r="B15" s="15" t="n">
        <v>8</v>
      </c>
      <c r="C15" s="7" t="s">
        <v>189</v>
      </c>
      <c r="D15" s="48" t="s">
        <v>181</v>
      </c>
      <c r="E15" s="32"/>
      <c r="F15" s="32"/>
      <c r="G15" s="32"/>
    </row>
    <row r="16" customFormat="false" ht="6" hidden="false" customHeight="true" outlineLevel="0" collapsed="false"/>
    <row r="17" customFormat="false" ht="18" hidden="false" customHeight="true" outlineLevel="0" collapsed="false">
      <c r="B17" s="47" t="s">
        <v>190</v>
      </c>
      <c r="C17" s="47"/>
      <c r="D17" s="47"/>
      <c r="E17" s="47"/>
      <c r="F17" s="47"/>
      <c r="G17" s="47"/>
    </row>
    <row r="18" customFormat="false" ht="19.5" hidden="false" customHeight="true" outlineLevel="0" collapsed="false">
      <c r="B18" s="15" t="n">
        <v>9</v>
      </c>
      <c r="C18" s="6" t="s">
        <v>191</v>
      </c>
      <c r="D18" s="48" t="s">
        <v>181</v>
      </c>
      <c r="E18" s="32"/>
      <c r="F18" s="32"/>
      <c r="G18" s="32"/>
    </row>
    <row r="19" customFormat="false" ht="19.5" hidden="false" customHeight="true" outlineLevel="0" collapsed="false">
      <c r="B19" s="15" t="n">
        <v>10</v>
      </c>
      <c r="C19" s="7" t="s">
        <v>192</v>
      </c>
      <c r="D19" s="48" t="s">
        <v>181</v>
      </c>
      <c r="E19" s="32"/>
      <c r="F19" s="32"/>
      <c r="G19" s="32"/>
    </row>
    <row r="20" customFormat="false" ht="19.5" hidden="false" customHeight="true" outlineLevel="0" collapsed="false">
      <c r="B20" s="15" t="n">
        <v>11</v>
      </c>
      <c r="C20" s="6" t="s">
        <v>193</v>
      </c>
      <c r="D20" s="48" t="s">
        <v>181</v>
      </c>
      <c r="E20" s="32"/>
      <c r="F20" s="32"/>
      <c r="G20" s="32"/>
    </row>
    <row r="21" customFormat="false" ht="19.5" hidden="false" customHeight="true" outlineLevel="0" collapsed="false">
      <c r="B21" s="15" t="n">
        <v>12</v>
      </c>
      <c r="C21" s="7" t="s">
        <v>194</v>
      </c>
      <c r="D21" s="48" t="s">
        <v>181</v>
      </c>
      <c r="E21" s="32"/>
      <c r="F21" s="32"/>
      <c r="G21" s="32"/>
    </row>
    <row r="22" customFormat="false" ht="6" hidden="false" customHeight="true" outlineLevel="0" collapsed="false"/>
    <row r="23" customFormat="false" ht="18" hidden="false" customHeight="true" outlineLevel="0" collapsed="false">
      <c r="B23" s="47" t="s">
        <v>195</v>
      </c>
      <c r="C23" s="47"/>
      <c r="D23" s="47"/>
      <c r="E23" s="47"/>
      <c r="F23" s="47"/>
      <c r="G23" s="47"/>
    </row>
    <row r="24" customFormat="false" ht="19.5" hidden="false" customHeight="true" outlineLevel="0" collapsed="false">
      <c r="B24" s="15" t="n">
        <v>13</v>
      </c>
      <c r="C24" s="6" t="s">
        <v>196</v>
      </c>
      <c r="D24" s="48" t="s">
        <v>181</v>
      </c>
      <c r="E24" s="32"/>
      <c r="F24" s="32"/>
      <c r="G24" s="32"/>
    </row>
    <row r="25" customFormat="false" ht="19.5" hidden="false" customHeight="true" outlineLevel="0" collapsed="false">
      <c r="B25" s="15" t="n">
        <v>14</v>
      </c>
      <c r="C25" s="7" t="s">
        <v>197</v>
      </c>
      <c r="D25" s="48" t="s">
        <v>181</v>
      </c>
      <c r="E25" s="32"/>
      <c r="F25" s="32"/>
      <c r="G25" s="32"/>
    </row>
    <row r="26" customFormat="false" ht="19.5" hidden="false" customHeight="true" outlineLevel="0" collapsed="false">
      <c r="B26" s="15" t="n">
        <v>15</v>
      </c>
      <c r="C26" s="6" t="s">
        <v>198</v>
      </c>
      <c r="D26" s="48" t="s">
        <v>181</v>
      </c>
      <c r="E26" s="32"/>
      <c r="F26" s="32"/>
      <c r="G26" s="32"/>
    </row>
    <row r="27" customFormat="false" ht="19.5" hidden="false" customHeight="true" outlineLevel="0" collapsed="false">
      <c r="B27" s="15" t="n">
        <v>16</v>
      </c>
      <c r="C27" s="7" t="s">
        <v>199</v>
      </c>
      <c r="D27" s="48" t="s">
        <v>181</v>
      </c>
      <c r="E27" s="32"/>
      <c r="F27" s="32"/>
      <c r="G27" s="32"/>
    </row>
    <row r="28" customFormat="false" ht="6" hidden="false" customHeight="true" outlineLevel="0" collapsed="false"/>
    <row r="29" customFormat="false" ht="18" hidden="false" customHeight="true" outlineLevel="0" collapsed="false">
      <c r="B29" s="47" t="s">
        <v>200</v>
      </c>
      <c r="C29" s="47"/>
      <c r="D29" s="47"/>
      <c r="E29" s="47"/>
      <c r="F29" s="47"/>
      <c r="G29" s="47"/>
    </row>
    <row r="30" customFormat="false" ht="19.5" hidden="false" customHeight="true" outlineLevel="0" collapsed="false">
      <c r="B30" s="15" t="n">
        <v>17</v>
      </c>
      <c r="C30" s="6" t="s">
        <v>201</v>
      </c>
      <c r="D30" s="48" t="s">
        <v>181</v>
      </c>
      <c r="E30" s="32"/>
      <c r="F30" s="32"/>
      <c r="G30" s="32"/>
    </row>
    <row r="31" customFormat="false" ht="19.5" hidden="false" customHeight="true" outlineLevel="0" collapsed="false">
      <c r="B31" s="15" t="n">
        <v>18</v>
      </c>
      <c r="C31" s="7" t="s">
        <v>202</v>
      </c>
      <c r="D31" s="48" t="s">
        <v>181</v>
      </c>
      <c r="E31" s="32"/>
      <c r="F31" s="32"/>
      <c r="G31" s="32"/>
    </row>
    <row r="32" customFormat="false" ht="19.5" hidden="false" customHeight="true" outlineLevel="0" collapsed="false">
      <c r="B32" s="15" t="n">
        <v>19</v>
      </c>
      <c r="C32" s="6" t="s">
        <v>203</v>
      </c>
      <c r="D32" s="48" t="s">
        <v>181</v>
      </c>
      <c r="E32" s="32"/>
      <c r="F32" s="32"/>
      <c r="G32" s="32"/>
    </row>
    <row r="33" customFormat="false" ht="19.5" hidden="false" customHeight="true" outlineLevel="0" collapsed="false">
      <c r="B33" s="15" t="n">
        <v>20</v>
      </c>
      <c r="C33" s="7" t="s">
        <v>204</v>
      </c>
      <c r="D33" s="48" t="s">
        <v>181</v>
      </c>
      <c r="E33" s="32"/>
      <c r="F33" s="32"/>
      <c r="G33" s="32"/>
    </row>
    <row r="34" customFormat="false" ht="6" hidden="false" customHeight="true" outlineLevel="0" collapsed="false"/>
    <row r="35" customFormat="false" ht="21.75" hidden="false" customHeight="true" outlineLevel="0" collapsed="false">
      <c r="B35" s="33" t="s">
        <v>205</v>
      </c>
      <c r="C35" s="33"/>
      <c r="D35" s="46" t="n">
        <f aca="false">COUNTIF(D5:D100,"✓ Complete")</f>
        <v>0</v>
      </c>
      <c r="E35" s="49" t="n">
        <f aca="false">COUNTIF(D5:D100,"✓ Complete")/20</f>
        <v>0</v>
      </c>
      <c r="F35" s="26" t="str">
        <f aca="false">IF(COUNTIF(D5:D100,"✓ Complete")/20&lt;0.4,"Foundation not yet in place — prioritize ownership and policy",IF(COUNTIF(D5:D100,"✓ Complete")/20&lt;0.7,"Progressing — address high-risk gaps first","Strong governance foundation"))</f>
        <v>Foundation not yet in place — prioritize ownership and policy</v>
      </c>
      <c r="G35" s="26"/>
    </row>
  </sheetData>
  <mergeCells count="10">
    <mergeCell ref="A1:G1"/>
    <mergeCell ref="A2:G2"/>
    <mergeCell ref="A3:G3"/>
    <mergeCell ref="B5:G5"/>
    <mergeCell ref="B11:G11"/>
    <mergeCell ref="B17:G17"/>
    <mergeCell ref="B23:G23"/>
    <mergeCell ref="B29:G29"/>
    <mergeCell ref="B35:C35"/>
    <mergeCell ref="F35:G35"/>
  </mergeCells>
  <dataValidations count="1">
    <dataValidation allowBlank="false" errorStyle="stop" operator="between" showDropDown="false" showErrorMessage="false" showInputMessage="false" sqref="D6:D9 D12:D15 D18:D21 D24:D27 D30:D33" type="list">
      <formula1>"✓ Complete,⏳ In Progress,✗ Not Started,N/A"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5" min="4" style="0" width="12"/>
    <col collapsed="false" customWidth="true" hidden="false" outlineLevel="0" max="6" min="6" style="0" width="3"/>
    <col collapsed="false" customWidth="true" hidden="false" outlineLevel="0" max="7" min="7" style="0" width="22"/>
  </cols>
  <sheetData>
    <row r="1" customFormat="false" ht="30" hidden="false" customHeight="true" outlineLevel="0" collapsed="false">
      <c r="A1" s="11" t="s">
        <v>206</v>
      </c>
      <c r="B1" s="11"/>
      <c r="C1" s="11"/>
      <c r="D1" s="11"/>
      <c r="E1" s="11"/>
      <c r="F1" s="11"/>
      <c r="G1" s="11"/>
    </row>
    <row r="2" customFormat="false" ht="21.75" hidden="false" customHeight="true" outlineLevel="0" collapsed="false">
      <c r="A2" s="2" t="s">
        <v>207</v>
      </c>
      <c r="B2" s="2"/>
      <c r="C2" s="2"/>
      <c r="D2" s="2"/>
      <c r="E2" s="2"/>
      <c r="F2" s="2"/>
      <c r="G2" s="2"/>
    </row>
    <row r="3" customFormat="false" ht="27.75" hidden="false" customHeight="true" outlineLevel="0" collapsed="false">
      <c r="A3" s="12" t="s">
        <v>208</v>
      </c>
      <c r="B3" s="12"/>
      <c r="C3" s="12"/>
      <c r="D3" s="12"/>
      <c r="E3" s="12"/>
      <c r="F3" s="12"/>
      <c r="G3" s="12"/>
    </row>
    <row r="4" customFormat="false" ht="27.75" hidden="false" customHeight="true" outlineLevel="0" collapsed="false">
      <c r="B4" s="5" t="s">
        <v>209</v>
      </c>
      <c r="C4" s="5" t="s">
        <v>210</v>
      </c>
      <c r="D4" s="5" t="s">
        <v>211</v>
      </c>
      <c r="E4" s="5" t="s">
        <v>41</v>
      </c>
      <c r="F4" s="5"/>
      <c r="G4" s="5"/>
    </row>
    <row r="5" customFormat="false" ht="18" hidden="false" customHeight="true" outlineLevel="0" collapsed="false">
      <c r="B5" s="47" t="s">
        <v>212</v>
      </c>
      <c r="C5" s="47"/>
      <c r="D5" s="47"/>
      <c r="E5" s="47"/>
      <c r="F5" s="47"/>
    </row>
    <row r="6" customFormat="false" ht="19.5" hidden="false" customHeight="true" outlineLevel="0" collapsed="false">
      <c r="B6" s="50" t="s">
        <v>213</v>
      </c>
      <c r="C6" s="51" t="s">
        <v>214</v>
      </c>
      <c r="D6" s="52"/>
      <c r="E6" s="32"/>
      <c r="F6" s="53" t="str">
        <f aca="false">IF(ISNUMBER(D6),REPT("█",D6)&amp;REPT("░",5-D6),"—")</f>
        <v>—</v>
      </c>
      <c r="G6" s="53"/>
    </row>
    <row r="7" customFormat="false" ht="19.5" hidden="false" customHeight="true" outlineLevel="0" collapsed="false">
      <c r="B7" s="54" t="s">
        <v>215</v>
      </c>
      <c r="C7" s="42" t="s">
        <v>216</v>
      </c>
      <c r="D7" s="52"/>
      <c r="E7" s="32"/>
      <c r="F7" s="53" t="str">
        <f aca="false">IF(ISNUMBER(D7),REPT("█",D7)&amp;REPT("░",5-D7),"—")</f>
        <v>—</v>
      </c>
      <c r="G7" s="53"/>
    </row>
    <row r="8" customFormat="false" ht="19.5" hidden="false" customHeight="true" outlineLevel="0" collapsed="false">
      <c r="B8" s="50" t="s">
        <v>217</v>
      </c>
      <c r="C8" s="51" t="s">
        <v>218</v>
      </c>
      <c r="D8" s="52"/>
      <c r="E8" s="32"/>
      <c r="F8" s="53" t="str">
        <f aca="false">IF(ISNUMBER(D8),REPT("█",D8)&amp;REPT("░",5-D8),"—")</f>
        <v>—</v>
      </c>
      <c r="G8" s="53"/>
    </row>
    <row r="9" customFormat="false" ht="19.5" hidden="false" customHeight="true" outlineLevel="0" collapsed="false">
      <c r="B9" s="54" t="s">
        <v>219</v>
      </c>
      <c r="C9" s="42" t="s">
        <v>220</v>
      </c>
      <c r="D9" s="52"/>
      <c r="E9" s="32"/>
      <c r="F9" s="53" t="str">
        <f aca="false">IF(ISNUMBER(D9),REPT("█",D9)&amp;REPT("░",5-D9),"—")</f>
        <v>—</v>
      </c>
      <c r="G9" s="53"/>
    </row>
    <row r="10" customFormat="false" ht="6" hidden="false" customHeight="true" outlineLevel="0" collapsed="false"/>
    <row r="11" customFormat="false" ht="18" hidden="false" customHeight="true" outlineLevel="0" collapsed="false">
      <c r="B11" s="47" t="s">
        <v>221</v>
      </c>
      <c r="C11" s="47"/>
      <c r="D11" s="47"/>
      <c r="E11" s="47"/>
      <c r="F11" s="47"/>
    </row>
    <row r="12" customFormat="false" ht="19.5" hidden="false" customHeight="true" outlineLevel="0" collapsed="false">
      <c r="B12" s="50" t="s">
        <v>222</v>
      </c>
      <c r="C12" s="51" t="s">
        <v>223</v>
      </c>
      <c r="D12" s="52"/>
      <c r="E12" s="32"/>
      <c r="F12" s="53" t="str">
        <f aca="false">IF(ISNUMBER(D12),REPT("█",D12)&amp;REPT("░",5-D12),"—")</f>
        <v>—</v>
      </c>
      <c r="G12" s="53"/>
    </row>
    <row r="13" customFormat="false" ht="19.5" hidden="false" customHeight="true" outlineLevel="0" collapsed="false">
      <c r="B13" s="54" t="s">
        <v>224</v>
      </c>
      <c r="C13" s="42" t="s">
        <v>225</v>
      </c>
      <c r="D13" s="52"/>
      <c r="E13" s="32"/>
      <c r="F13" s="53" t="str">
        <f aca="false">IF(ISNUMBER(D13),REPT("█",D13)&amp;REPT("░",5-D13),"—")</f>
        <v>—</v>
      </c>
      <c r="G13" s="53"/>
    </row>
    <row r="14" customFormat="false" ht="19.5" hidden="false" customHeight="true" outlineLevel="0" collapsed="false">
      <c r="B14" s="50" t="s">
        <v>226</v>
      </c>
      <c r="C14" s="51" t="s">
        <v>227</v>
      </c>
      <c r="D14" s="52"/>
      <c r="E14" s="32"/>
      <c r="F14" s="53" t="str">
        <f aca="false">IF(ISNUMBER(D14),REPT("█",D14)&amp;REPT("░",5-D14),"—")</f>
        <v>—</v>
      </c>
      <c r="G14" s="53"/>
    </row>
    <row r="15" customFormat="false" ht="19.5" hidden="false" customHeight="true" outlineLevel="0" collapsed="false">
      <c r="B15" s="54" t="s">
        <v>228</v>
      </c>
      <c r="C15" s="42" t="s">
        <v>229</v>
      </c>
      <c r="D15" s="52"/>
      <c r="E15" s="32"/>
      <c r="F15" s="53" t="str">
        <f aca="false">IF(ISNUMBER(D15),REPT("█",D15)&amp;REPT("░",5-D15),"—")</f>
        <v>—</v>
      </c>
      <c r="G15" s="53"/>
    </row>
    <row r="16" customFormat="false" ht="6" hidden="false" customHeight="true" outlineLevel="0" collapsed="false"/>
    <row r="17" customFormat="false" ht="18" hidden="false" customHeight="true" outlineLevel="0" collapsed="false">
      <c r="B17" s="47" t="s">
        <v>230</v>
      </c>
      <c r="C17" s="47"/>
      <c r="D17" s="47"/>
      <c r="E17" s="47"/>
      <c r="F17" s="47"/>
    </row>
    <row r="18" customFormat="false" ht="19.5" hidden="false" customHeight="true" outlineLevel="0" collapsed="false">
      <c r="B18" s="50" t="s">
        <v>231</v>
      </c>
      <c r="C18" s="51" t="s">
        <v>232</v>
      </c>
      <c r="D18" s="52"/>
      <c r="E18" s="32"/>
      <c r="F18" s="53" t="str">
        <f aca="false">IF(ISNUMBER(D18),REPT("█",D18)&amp;REPT("░",5-D18),"—")</f>
        <v>—</v>
      </c>
      <c r="G18" s="53"/>
    </row>
    <row r="19" customFormat="false" ht="19.5" hidden="false" customHeight="true" outlineLevel="0" collapsed="false">
      <c r="B19" s="54" t="s">
        <v>233</v>
      </c>
      <c r="C19" s="42" t="s">
        <v>234</v>
      </c>
      <c r="D19" s="52"/>
      <c r="E19" s="32"/>
      <c r="F19" s="53" t="str">
        <f aca="false">IF(ISNUMBER(D19),REPT("█",D19)&amp;REPT("░",5-D19),"—")</f>
        <v>—</v>
      </c>
      <c r="G19" s="53"/>
    </row>
    <row r="20" customFormat="false" ht="19.5" hidden="false" customHeight="true" outlineLevel="0" collapsed="false">
      <c r="B20" s="50" t="s">
        <v>235</v>
      </c>
      <c r="C20" s="51" t="s">
        <v>236</v>
      </c>
      <c r="D20" s="52"/>
      <c r="E20" s="32"/>
      <c r="F20" s="53" t="str">
        <f aca="false">IF(ISNUMBER(D20),REPT("█",D20)&amp;REPT("░",5-D20),"—")</f>
        <v>—</v>
      </c>
      <c r="G20" s="53"/>
    </row>
    <row r="21" customFormat="false" ht="19.5" hidden="false" customHeight="true" outlineLevel="0" collapsed="false">
      <c r="B21" s="54" t="s">
        <v>237</v>
      </c>
      <c r="C21" s="42" t="s">
        <v>238</v>
      </c>
      <c r="D21" s="52"/>
      <c r="E21" s="32"/>
      <c r="F21" s="53" t="str">
        <f aca="false">IF(ISNUMBER(D21),REPT("█",D21)&amp;REPT("░",5-D21),"—")</f>
        <v>—</v>
      </c>
      <c r="G21" s="53"/>
    </row>
    <row r="22" customFormat="false" ht="6" hidden="false" customHeight="true" outlineLevel="0" collapsed="false"/>
    <row r="24" customFormat="false" ht="21.75" hidden="false" customHeight="true" outlineLevel="0" collapsed="false">
      <c r="B24" s="24" t="s">
        <v>239</v>
      </c>
      <c r="C24" s="24"/>
      <c r="D24" s="25" t="n">
        <f aca="false">IF(ISNUMBER(D6),D6,0)+IF(ISNUMBER(D7),D7,0)+IF(ISNUMBER(D8),D8,0)+IF(ISNUMBER(D9),D9,0)+IF(ISNUMBER(D12),D12,0)+IF(ISNUMBER(D13),D13,0)+IF(ISNUMBER(D14),D14,0)+IF(ISNUMBER(D15),D15,0)+IF(ISNUMBER(D18),D18,0)+IF(ISNUMBER(D19),D19,0)+IF(ISNUMBER(D20),D20,0)+IF(ISNUMBER(D21),D21,0)</f>
        <v>0</v>
      </c>
      <c r="E24" s="55" t="str">
        <f aca="false">IF((IF(ISNUMBER(D6),D6,0)+IF(ISNUMBER(D7),D7,0)+IF(ISNUMBER(D8),D8,0)+IF(ISNUMBER(D9),D9,0)+IF(ISNUMBER(D12),D12,0)+IF(ISNUMBER(D13),D13,0)+IF(ISNUMBER(D14),D14,0)+IF(ISNUMBER(D15),D15,0)+IF(ISNUMBER(D18),D18,0)+IF(ISNUMBER(D19),D19,0)+IF(ISNUMBER(D20),D20,0)+IF(ISNUMBER(D21),D21,0))=0,"Complete all questions above",IF((IF(ISNUMBER(D6),D6,0)+IF(ISNUMBER(D7),D7,0)+IF(ISNUMBER(D8),D8,0)+IF(ISNUMBER(D9),D9,0)+IF(ISNUMBER(D12),D12,0)+IF(ISNUMBER(D13),D13,0)+IF(ISNUMBER(D14),D14,0)+IF(ISNUMBER(D15),D15,0)+IF(ISNUMBER(D18),D18,0)+IF(ISNUMBER(D19),D19,0)+IF(ISNUMBER(D20),D20,0)+IF(ISNUMBER(D21),D21,0))&lt;30,"Not ready — consolidate L and I stages first",IF((IF(ISNUMBER(D6),D6,0)+IF(ISNUMBER(D7),D7,0)+IF(ISNUMBER(D8),D8,0)+IF(ISNUMBER(D9),D9,0)+IF(ISNUMBER(D12),D12,0)+IF(ISNUMBER(D13),D13,0)+IF(ISNUMBER(D14),D14,0)+IF(ISNUMBER(D15),D15,0)+IF(ISNUMBER(D18),D18,0)+IF(ISNUMBER(D19),D19,0)+IF(ISNUMBER(D20),D20,0)+IF(ISNUMBER(D21),D21,0))&lt;45,"Approaching readiness — close key gaps","Ready to pursue Transformation — move with intention")))</f>
        <v>Complete all questions above</v>
      </c>
      <c r="F24" s="55"/>
      <c r="G24" s="55"/>
    </row>
  </sheetData>
  <mergeCells count="20">
    <mergeCell ref="A1:G1"/>
    <mergeCell ref="A2:G2"/>
    <mergeCell ref="A3:G3"/>
    <mergeCell ref="B5:F5"/>
    <mergeCell ref="F6:G6"/>
    <mergeCell ref="F7:G7"/>
    <mergeCell ref="F8:G8"/>
    <mergeCell ref="F9:G9"/>
    <mergeCell ref="B11:F11"/>
    <mergeCell ref="F12:G12"/>
    <mergeCell ref="F13:G13"/>
    <mergeCell ref="F14:G14"/>
    <mergeCell ref="F15:G15"/>
    <mergeCell ref="B17:F17"/>
    <mergeCell ref="F18:G18"/>
    <mergeCell ref="F19:G19"/>
    <mergeCell ref="F20:G20"/>
    <mergeCell ref="F21:G21"/>
    <mergeCell ref="B24:C24"/>
    <mergeCell ref="E24:G24"/>
  </mergeCells>
  <dataValidations count="1">
    <dataValidation allowBlank="false" errorStyle="stop" operator="between" showDropDown="false" showErrorMessage="false" showInputMessage="false" sqref="D6:D9 D12:D15 D18:D2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2026-03-05T04:23:52Z</dcterms:created>
  <dc:creator>openpyxl</dc:creator>
  <dc:description/>
  <dc:language>en-US</dc:language>
  <cp:lastModifiedBy/>
  <dcterms:modified xsi:type="dcterms:W3CDTF">2026-03-05T04:23:52Z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